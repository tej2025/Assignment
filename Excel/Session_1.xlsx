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excel\Assignment\"/>
    </mc:Choice>
  </mc:AlternateContent>
  <xr:revisionPtr revIDLastSave="0" documentId="13_ncr:1_{2B725374-86B1-4F0C-B488-01392CF52A8D}" xr6:coauthVersionLast="47" xr6:coauthVersionMax="47" xr10:uidLastSave="{00000000-0000-0000-0000-000000000000}"/>
  <bookViews>
    <workbookView xWindow="-108" yWindow="-108" windowWidth="23256" windowHeight="12456" tabRatio="643" activeTab="5" xr2:uid="{87520949-7B0A-47E7-9A7E-399A249C4192}"/>
  </bookViews>
  <sheets>
    <sheet name="Songs" sheetId="1" r:id="rId1"/>
    <sheet name="Artists" sheetId="2" r:id="rId2"/>
    <sheet name="RawOrders" sheetId="3" r:id="rId3"/>
    <sheet name="CorrectedOrders" sheetId="4" r:id="rId4"/>
    <sheet name="DataTypeNotes" sheetId="5" r:id="rId5"/>
    <sheet name="GST Calculato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D2" i="6"/>
  <c r="D3" i="6"/>
  <c r="D4" i="6"/>
  <c r="D5" i="6"/>
  <c r="D6" i="6"/>
  <c r="C2" i="6"/>
  <c r="C3" i="6"/>
  <c r="C4" i="6"/>
  <c r="C5" i="6"/>
  <c r="C6" i="6"/>
  <c r="D2" i="2"/>
  <c r="D3" i="2"/>
  <c r="D4" i="2"/>
  <c r="D5" i="2"/>
  <c r="D6" i="2"/>
  <c r="E9" i="1"/>
  <c r="E10" i="1"/>
  <c r="B9" i="1"/>
  <c r="B8" i="1"/>
  <c r="C2" i="1"/>
  <c r="C3" i="1"/>
  <c r="C4" i="1"/>
  <c r="C5" i="1"/>
  <c r="C6" i="1"/>
</calcChain>
</file>

<file path=xl/sharedStrings.xml><?xml version="1.0" encoding="utf-8"?>
<sst xmlns="http://schemas.openxmlformats.org/spreadsheetml/2006/main" count="96" uniqueCount="78">
  <si>
    <t>Song Title</t>
  </si>
  <si>
    <t>Duration (min)</t>
  </si>
  <si>
    <t>Release Date</t>
  </si>
  <si>
    <t>Genre</t>
  </si>
  <si>
    <t>Ocean Drive</t>
  </si>
  <si>
    <t>Pop</t>
  </si>
  <si>
    <t>Midnight City</t>
  </si>
  <si>
    <t>Synth-pop</t>
  </si>
  <si>
    <t>Golden Hour</t>
  </si>
  <si>
    <t>Indie</t>
  </si>
  <si>
    <t>Electric Feel</t>
  </si>
  <si>
    <t>Alternative</t>
  </si>
  <si>
    <t>Sunset Lover</t>
  </si>
  <si>
    <t>Electronic</t>
  </si>
  <si>
    <t>Total Duration — A1 formula</t>
  </si>
  <si>
    <t>Total Duration — R1C1 formula</t>
  </si>
  <si>
    <t>Formula expression</t>
  </si>
  <si>
    <t>A1</t>
  </si>
  <si>
    <t>R1C1</t>
  </si>
  <si>
    <t>Artist</t>
  </si>
  <si>
    <t>Country</t>
  </si>
  <si>
    <t>Debut Year</t>
  </si>
  <si>
    <t>Date Added</t>
  </si>
  <si>
    <t>Aarav Mehta</t>
  </si>
  <si>
    <t>India</t>
  </si>
  <si>
    <t>Lena Brooks</t>
  </si>
  <si>
    <t>United Kingdom</t>
  </si>
  <si>
    <t>Kai Nakamura</t>
  </si>
  <si>
    <t>Japan</t>
  </si>
  <si>
    <t>Maya Chen</t>
  </si>
  <si>
    <t>Canada</t>
  </si>
  <si>
    <t>Diego Silva</t>
  </si>
  <si>
    <t>Brazil</t>
  </si>
  <si>
    <t>GST using $B$1</t>
  </si>
  <si>
    <t>GST using B1</t>
  </si>
  <si>
    <t>Both formulas should return the same total.</t>
  </si>
  <si>
    <t>Reference style</t>
  </si>
  <si>
    <t>Item Price</t>
  </si>
  <si>
    <t>Reference note</t>
  </si>
  <si>
    <t>Absolute reference</t>
  </si>
  <si>
    <t>$B$1 remains fixed when copied down.</t>
  </si>
  <si>
    <t>Relative reference</t>
  </si>
  <si>
    <t>B1 shifts to B2 when copied down.</t>
  </si>
  <si>
    <t>Observed result</t>
  </si>
  <si>
    <t>Blank shifted rate cells produce 0.</t>
  </si>
  <si>
    <t>Best choice here</t>
  </si>
  <si>
    <t>Use $B$1 for one shared GST rate.</t>
  </si>
  <si>
    <t>Order ID</t>
  </si>
  <si>
    <t>Order Date (raw)</t>
  </si>
  <si>
    <t>Product</t>
  </si>
  <si>
    <t>Quantity (raw)</t>
  </si>
  <si>
    <t>Unit Price (raw)</t>
  </si>
  <si>
    <t>Order Status</t>
  </si>
  <si>
    <t>Notebook</t>
  </si>
  <si>
    <t>₹ 250.00</t>
  </si>
  <si>
    <t>Shipped</t>
  </si>
  <si>
    <t>Pen</t>
  </si>
  <si>
    <t>₹ 35.00</t>
  </si>
  <si>
    <t>Delivered</t>
  </si>
  <si>
    <t>Backpack</t>
  </si>
  <si>
    <t>₹ 1,200.00</t>
  </si>
  <si>
    <t>Processing</t>
  </si>
  <si>
    <t>Mouse</t>
  </si>
  <si>
    <t>₹ 799.00</t>
  </si>
  <si>
    <t>Keyboard</t>
  </si>
  <si>
    <t>₹ 1,499.00</t>
  </si>
  <si>
    <t>Order Date</t>
  </si>
  <si>
    <t>Quantity</t>
  </si>
  <si>
    <t>Unit Price</t>
  </si>
  <si>
    <t>Field</t>
  </si>
  <si>
    <t>Issue found in RawOrders</t>
  </si>
  <si>
    <t>Correction applied in CorrectedOrders</t>
  </si>
  <si>
    <t>Date values were stored as text and formats were inconsistent.</t>
  </si>
  <si>
    <t>Converted to DATE values and applied a consistent date format.</t>
  </si>
  <si>
    <t>Numbers were stored as text.</t>
  </si>
  <si>
    <t>Converted to numeric values.</t>
  </si>
  <si>
    <t>Currency symbol and commas were stored as text.</t>
  </si>
  <si>
    <t>Removed text characters, converted to numbers, and applied currency formatting.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</si>
</sst>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2" borderId="1" xfId="1" applyAlignment="1">
      <alignment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39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8AD1DE-6236-48EF-90F2-1C49246419AE}">
  <we:reference id="wa200005502" version="1.0.0.12" store="en-IN" storeType="OMEX"/>
  <we:alternateReferences>
    <we:reference id="WA200005502" version="1.0.0.12" store="" storeType="OMEX"/>
  </we:alternateReferences>
  <we:properties>
    <we:property name="docId" value="&quot;TQK9NWRiqjLtPPI0-dTU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7A3F-C6AD-4FED-9C5D-9B414CC68CA3}">
  <sheetPr>
    <tabColor theme="0" tint="-4.9989318521683403E-2"/>
  </sheetPr>
  <dimension ref="A1:E10"/>
  <sheetViews>
    <sheetView workbookViewId="0">
      <selection activeCell="E8" sqref="E8"/>
    </sheetView>
  </sheetViews>
  <sheetFormatPr defaultRowHeight="14.4" x14ac:dyDescent="0.3"/>
  <cols>
    <col min="1" max="1" width="37.21875" bestFit="1" customWidth="1"/>
    <col min="2" max="2" width="13.44140625" bestFit="1" customWidth="1"/>
    <col min="3" max="3" width="11.6640625" bestFit="1" customWidth="1"/>
    <col min="4" max="4" width="13.88671875" bestFit="1" customWidth="1"/>
    <col min="5" max="5" width="17.44140625" bestFit="1" customWidth="1"/>
  </cols>
  <sheetData>
    <row r="1" spans="1:5" ht="15.6" thickTop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1"/>
    </row>
    <row r="2" spans="1:5" ht="15" thickTop="1" x14ac:dyDescent="0.3">
      <c r="A2" s="1" t="s">
        <v>4</v>
      </c>
      <c r="B2" s="1">
        <v>3.5</v>
      </c>
      <c r="C2" s="2">
        <f>DATE(2024,2,14)</f>
        <v>45336</v>
      </c>
      <c r="D2" s="1" t="s">
        <v>5</v>
      </c>
      <c r="E2" s="1"/>
    </row>
    <row r="3" spans="1:5" x14ac:dyDescent="0.3">
      <c r="A3" s="1" t="s">
        <v>6</v>
      </c>
      <c r="B3" s="1">
        <v>4</v>
      </c>
      <c r="C3" s="2">
        <f>DATE(2023,9,30)</f>
        <v>45199</v>
      </c>
      <c r="D3" s="1" t="s">
        <v>7</v>
      </c>
      <c r="E3" s="1"/>
    </row>
    <row r="4" spans="1:5" x14ac:dyDescent="0.3">
      <c r="A4" s="1" t="s">
        <v>8</v>
      </c>
      <c r="B4" s="1">
        <v>3.2</v>
      </c>
      <c r="C4" s="2">
        <f>DATE(2025,1,12)</f>
        <v>45669</v>
      </c>
      <c r="D4" s="1" t="s">
        <v>9</v>
      </c>
      <c r="E4" s="1"/>
    </row>
    <row r="5" spans="1:5" x14ac:dyDescent="0.3">
      <c r="A5" s="1" t="s">
        <v>10</v>
      </c>
      <c r="B5" s="1">
        <v>3.8</v>
      </c>
      <c r="C5" s="2">
        <f>DATE(2022,6,18)</f>
        <v>44730</v>
      </c>
      <c r="D5" s="1" t="s">
        <v>11</v>
      </c>
      <c r="E5" s="1"/>
    </row>
    <row r="6" spans="1:5" x14ac:dyDescent="0.3">
      <c r="A6" s="1" t="s">
        <v>12</v>
      </c>
      <c r="B6" s="1">
        <v>3.6</v>
      </c>
      <c r="C6" s="2">
        <f>DATE(2021,11,5)</f>
        <v>44505</v>
      </c>
      <c r="D6" s="1" t="s">
        <v>13</v>
      </c>
      <c r="E6" s="1"/>
    </row>
    <row r="7" spans="1:5" ht="15" thickBot="1" x14ac:dyDescent="0.35">
      <c r="A7" s="1"/>
      <c r="B7" s="1"/>
      <c r="C7" s="1"/>
      <c r="D7" s="1"/>
      <c r="E7" s="1"/>
    </row>
    <row r="8" spans="1:5" ht="15.6" thickTop="1" thickBot="1" x14ac:dyDescent="0.35">
      <c r="A8" s="1" t="s">
        <v>14</v>
      </c>
      <c r="B8" s="1">
        <f>SUM(B2:B6)</f>
        <v>18.100000000000001</v>
      </c>
      <c r="C8" s="1"/>
      <c r="D8" s="3" t="s">
        <v>36</v>
      </c>
      <c r="E8" s="3" t="s">
        <v>16</v>
      </c>
    </row>
    <row r="9" spans="1:5" ht="15" thickTop="1" x14ac:dyDescent="0.3">
      <c r="A9" s="1" t="s">
        <v>15</v>
      </c>
      <c r="B9" s="1">
        <f>SUM(B2:B6)</f>
        <v>18.100000000000001</v>
      </c>
      <c r="C9" s="1"/>
      <c r="D9" s="1" t="s">
        <v>17</v>
      </c>
      <c r="E9" s="1">
        <f>SUM(B2:B6)</f>
        <v>18.100000000000001</v>
      </c>
    </row>
    <row r="10" spans="1:5" x14ac:dyDescent="0.3">
      <c r="A10" s="1" t="s">
        <v>35</v>
      </c>
      <c r="B10" s="1"/>
      <c r="C10" s="1"/>
      <c r="D10" s="1" t="s">
        <v>18</v>
      </c>
      <c r="E10" s="1">
        <f>SUM(E3:E7)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C473-B995-4539-BA2E-1021BA4C0625}">
  <dimension ref="A1:D6"/>
  <sheetViews>
    <sheetView workbookViewId="0">
      <selection activeCell="D1" sqref="D1"/>
    </sheetView>
  </sheetViews>
  <sheetFormatPr defaultRowHeight="14.4" x14ac:dyDescent="0.3"/>
  <cols>
    <col min="1" max="1" width="12.33203125" bestFit="1" customWidth="1"/>
    <col min="2" max="2" width="14" bestFit="1" customWidth="1"/>
    <col min="3" max="3" width="10.21875" bestFit="1" customWidth="1"/>
    <col min="4" max="4" width="10.88671875" bestFit="1" customWidth="1"/>
  </cols>
  <sheetData>
    <row r="1" spans="1:4" ht="15.6" thickTop="1" thickBot="1" x14ac:dyDescent="0.35">
      <c r="A1" s="3" t="s">
        <v>19</v>
      </c>
      <c r="B1" s="3" t="s">
        <v>20</v>
      </c>
      <c r="C1" s="3" t="s">
        <v>21</v>
      </c>
      <c r="D1" s="3" t="s">
        <v>22</v>
      </c>
    </row>
    <row r="2" spans="1:4" ht="15" thickTop="1" x14ac:dyDescent="0.3">
      <c r="A2" s="1" t="s">
        <v>23</v>
      </c>
      <c r="B2" s="1" t="s">
        <v>24</v>
      </c>
      <c r="C2" s="1">
        <v>2018</v>
      </c>
      <c r="D2" s="2">
        <f>DATE(2026,1,4)</f>
        <v>46026</v>
      </c>
    </row>
    <row r="3" spans="1:4" x14ac:dyDescent="0.3">
      <c r="A3" s="1" t="s">
        <v>25</v>
      </c>
      <c r="B3" s="1" t="s">
        <v>26</v>
      </c>
      <c r="C3" s="1">
        <v>2015</v>
      </c>
      <c r="D3" s="2">
        <f>DATE(2026,1,5)</f>
        <v>46027</v>
      </c>
    </row>
    <row r="4" spans="1:4" x14ac:dyDescent="0.3">
      <c r="A4" s="1" t="s">
        <v>27</v>
      </c>
      <c r="B4" s="1" t="s">
        <v>28</v>
      </c>
      <c r="C4" s="1">
        <v>2020</v>
      </c>
      <c r="D4" s="2">
        <f>DATE(2026,1,6)</f>
        <v>46028</v>
      </c>
    </row>
    <row r="5" spans="1:4" x14ac:dyDescent="0.3">
      <c r="A5" s="1" t="s">
        <v>29</v>
      </c>
      <c r="B5" s="1" t="s">
        <v>30</v>
      </c>
      <c r="C5" s="1">
        <v>2017</v>
      </c>
      <c r="D5" s="2">
        <f>DATE(2026,1,7)</f>
        <v>46029</v>
      </c>
    </row>
    <row r="6" spans="1:4" x14ac:dyDescent="0.3">
      <c r="A6" s="1" t="s">
        <v>31</v>
      </c>
      <c r="B6" s="1" t="s">
        <v>32</v>
      </c>
      <c r="C6" s="1">
        <v>2012</v>
      </c>
      <c r="D6" s="2">
        <f>DATE(2026,1,8)</f>
        <v>46030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E8F4-DE32-49BF-9D3B-A3958F1C52AD}">
  <dimension ref="A1:F6"/>
  <sheetViews>
    <sheetView workbookViewId="0">
      <selection activeCell="F1" sqref="F1"/>
    </sheetView>
  </sheetViews>
  <sheetFormatPr defaultRowHeight="14.4" x14ac:dyDescent="0.3"/>
  <cols>
    <col min="1" max="1" width="8" bestFit="1" customWidth="1"/>
    <col min="2" max="2" width="15.109375" bestFit="1" customWidth="1"/>
    <col min="3" max="3" width="9.21875" bestFit="1" customWidth="1"/>
    <col min="4" max="4" width="13.33203125" bestFit="1" customWidth="1"/>
    <col min="5" max="5" width="14.109375" bestFit="1" customWidth="1"/>
    <col min="6" max="6" width="11.44140625" bestFit="1" customWidth="1"/>
  </cols>
  <sheetData>
    <row r="1" spans="1:6" ht="15.6" thickTop="1" thickBot="1" x14ac:dyDescent="0.3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</row>
    <row r="2" spans="1:6" ht="15" thickTop="1" x14ac:dyDescent="0.3">
      <c r="A2" s="1">
        <v>1001</v>
      </c>
      <c r="B2" s="2">
        <v>46027</v>
      </c>
      <c r="C2" s="1" t="s">
        <v>53</v>
      </c>
      <c r="D2" s="1">
        <v>2</v>
      </c>
      <c r="E2" s="1" t="s">
        <v>54</v>
      </c>
      <c r="F2" s="1" t="s">
        <v>55</v>
      </c>
    </row>
    <row r="3" spans="1:6" x14ac:dyDescent="0.3">
      <c r="A3" s="1">
        <v>1002</v>
      </c>
      <c r="B3" s="2">
        <v>46143</v>
      </c>
      <c r="C3" s="1" t="s">
        <v>56</v>
      </c>
      <c r="D3" s="1">
        <v>3</v>
      </c>
      <c r="E3" s="1" t="s">
        <v>57</v>
      </c>
      <c r="F3" s="1" t="s">
        <v>58</v>
      </c>
    </row>
    <row r="4" spans="1:6" x14ac:dyDescent="0.3">
      <c r="A4" s="1">
        <v>1003</v>
      </c>
      <c r="B4" s="2">
        <v>46030</v>
      </c>
      <c r="C4" s="1" t="s">
        <v>59</v>
      </c>
      <c r="D4" s="1">
        <v>1</v>
      </c>
      <c r="E4" s="1" t="s">
        <v>60</v>
      </c>
      <c r="F4" s="1" t="s">
        <v>61</v>
      </c>
    </row>
    <row r="5" spans="1:6" x14ac:dyDescent="0.3">
      <c r="A5" s="1">
        <v>1004</v>
      </c>
      <c r="B5" s="2">
        <v>46032</v>
      </c>
      <c r="C5" s="1" t="s">
        <v>62</v>
      </c>
      <c r="D5" s="1">
        <v>2</v>
      </c>
      <c r="E5" s="1" t="s">
        <v>63</v>
      </c>
      <c r="F5" s="1" t="s">
        <v>55</v>
      </c>
    </row>
    <row r="6" spans="1:6" x14ac:dyDescent="0.3">
      <c r="A6" s="1">
        <v>1005</v>
      </c>
      <c r="B6" s="2">
        <v>46034</v>
      </c>
      <c r="C6" s="1" t="s">
        <v>64</v>
      </c>
      <c r="D6" s="1">
        <v>1</v>
      </c>
      <c r="E6" s="1" t="s">
        <v>65</v>
      </c>
      <c r="F6" s="1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751B-3F80-4943-9635-0AAE1BB10305}">
  <dimension ref="A1:F6"/>
  <sheetViews>
    <sheetView workbookViewId="0">
      <selection activeCell="F1" sqref="F1"/>
    </sheetView>
  </sheetViews>
  <sheetFormatPr defaultRowHeight="14.4" x14ac:dyDescent="0.3"/>
  <cols>
    <col min="1" max="1" width="8" bestFit="1" customWidth="1"/>
    <col min="2" max="2" width="10.33203125" bestFit="1" customWidth="1"/>
    <col min="3" max="3" width="9.21875" bestFit="1" customWidth="1"/>
    <col min="4" max="4" width="8.33203125" bestFit="1" customWidth="1"/>
    <col min="5" max="5" width="9.109375" bestFit="1" customWidth="1"/>
    <col min="6" max="6" width="11.44140625" bestFit="1" customWidth="1"/>
  </cols>
  <sheetData>
    <row r="1" spans="1:6" ht="15.6" thickTop="1" thickBot="1" x14ac:dyDescent="0.35">
      <c r="A1" s="3" t="s">
        <v>47</v>
      </c>
      <c r="B1" s="3" t="s">
        <v>66</v>
      </c>
      <c r="C1" s="3" t="s">
        <v>49</v>
      </c>
      <c r="D1" s="3" t="s">
        <v>67</v>
      </c>
      <c r="E1" s="3" t="s">
        <v>68</v>
      </c>
      <c r="F1" s="3" t="s">
        <v>52</v>
      </c>
    </row>
    <row r="2" spans="1:6" ht="15" thickTop="1" x14ac:dyDescent="0.3">
      <c r="A2" s="1">
        <v>1001</v>
      </c>
      <c r="B2" s="2">
        <f>DATE(2026,1,5)</f>
        <v>46027</v>
      </c>
      <c r="C2" s="1" t="s">
        <v>53</v>
      </c>
      <c r="D2" s="1">
        <v>2</v>
      </c>
      <c r="E2" s="1">
        <v>250</v>
      </c>
      <c r="F2" s="1" t="s">
        <v>55</v>
      </c>
    </row>
    <row r="3" spans="1:6" x14ac:dyDescent="0.3">
      <c r="A3" s="1">
        <v>1002</v>
      </c>
      <c r="B3" s="2">
        <f>DATE(2026,1,5)</f>
        <v>46027</v>
      </c>
      <c r="C3" s="1" t="s">
        <v>56</v>
      </c>
      <c r="D3" s="1">
        <v>3</v>
      </c>
      <c r="E3" s="1">
        <v>35</v>
      </c>
      <c r="F3" s="1" t="s">
        <v>58</v>
      </c>
    </row>
    <row r="4" spans="1:6" x14ac:dyDescent="0.3">
      <c r="A4" s="1">
        <v>1003</v>
      </c>
      <c r="B4" s="2">
        <f>DATE(2026,1,8)</f>
        <v>46030</v>
      </c>
      <c r="C4" s="1" t="s">
        <v>59</v>
      </c>
      <c r="D4" s="1">
        <v>1</v>
      </c>
      <c r="E4" s="1">
        <v>1200</v>
      </c>
      <c r="F4" s="1" t="s">
        <v>61</v>
      </c>
    </row>
    <row r="5" spans="1:6" x14ac:dyDescent="0.3">
      <c r="A5" s="1">
        <v>1004</v>
      </c>
      <c r="B5" s="2">
        <f>DATE(2026,1,10)</f>
        <v>46032</v>
      </c>
      <c r="C5" s="1" t="s">
        <v>62</v>
      </c>
      <c r="D5" s="1">
        <v>2</v>
      </c>
      <c r="E5" s="1">
        <v>799</v>
      </c>
      <c r="F5" s="1" t="s">
        <v>55</v>
      </c>
    </row>
    <row r="6" spans="1:6" x14ac:dyDescent="0.3">
      <c r="A6" s="1">
        <v>1005</v>
      </c>
      <c r="B6" s="2">
        <f>DATE(2026,1,12)</f>
        <v>46034</v>
      </c>
      <c r="C6" s="1" t="s">
        <v>64</v>
      </c>
      <c r="D6" s="1">
        <v>1</v>
      </c>
      <c r="E6" s="1">
        <v>1499</v>
      </c>
      <c r="F6" s="1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C30F-0728-49E3-B551-E36DE23DA21A}">
  <dimension ref="A1:C4"/>
  <sheetViews>
    <sheetView workbookViewId="0">
      <selection activeCell="C1" sqref="C1"/>
    </sheetView>
  </sheetViews>
  <sheetFormatPr defaultRowHeight="14.4" x14ac:dyDescent="0.3"/>
  <cols>
    <col min="1" max="1" width="10" bestFit="1" customWidth="1"/>
    <col min="2" max="2" width="53.33203125" bestFit="1" customWidth="1"/>
    <col min="3" max="3" width="69" bestFit="1" customWidth="1"/>
  </cols>
  <sheetData>
    <row r="1" spans="1:3" ht="15.6" thickTop="1" thickBot="1" x14ac:dyDescent="0.35">
      <c r="A1" s="3" t="s">
        <v>69</v>
      </c>
      <c r="B1" s="3" t="s">
        <v>70</v>
      </c>
      <c r="C1" s="3" t="s">
        <v>71</v>
      </c>
    </row>
    <row r="2" spans="1:3" ht="15" thickTop="1" x14ac:dyDescent="0.3">
      <c r="A2" s="1" t="s">
        <v>66</v>
      </c>
      <c r="B2" s="1" t="s">
        <v>72</v>
      </c>
      <c r="C2" s="1" t="s">
        <v>73</v>
      </c>
    </row>
    <row r="3" spans="1:3" x14ac:dyDescent="0.3">
      <c r="A3" s="1" t="s">
        <v>67</v>
      </c>
      <c r="B3" s="1" t="s">
        <v>74</v>
      </c>
      <c r="C3" s="1" t="s">
        <v>75</v>
      </c>
    </row>
    <row r="4" spans="1:3" x14ac:dyDescent="0.3">
      <c r="A4" s="1" t="s">
        <v>68</v>
      </c>
      <c r="B4" s="1" t="s">
        <v>76</v>
      </c>
      <c r="C4" s="1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0F94F-D184-4738-AC37-3C2DCB66E438}">
  <dimension ref="A1:F6"/>
  <sheetViews>
    <sheetView tabSelected="1" workbookViewId="0">
      <selection activeCell="E9" sqref="E9"/>
    </sheetView>
  </sheetViews>
  <sheetFormatPr defaultRowHeight="14.4" x14ac:dyDescent="0.3"/>
  <cols>
    <col min="1" max="1" width="9.44140625" bestFit="1" customWidth="1"/>
    <col min="2" max="2" width="5" bestFit="1" customWidth="1"/>
    <col min="3" max="3" width="13.77734375" bestFit="1" customWidth="1"/>
    <col min="4" max="4" width="11.6640625" bestFit="1" customWidth="1"/>
    <col min="5" max="5" width="16.5546875" bestFit="1" customWidth="1"/>
    <col min="6" max="6" width="33.33203125" bestFit="1" customWidth="1"/>
  </cols>
  <sheetData>
    <row r="1" spans="1:6" ht="15.6" thickTop="1" thickBot="1" x14ac:dyDescent="0.35">
      <c r="A1" s="3" t="s">
        <v>37</v>
      </c>
      <c r="B1" s="3">
        <v>0.18</v>
      </c>
      <c r="C1" s="3" t="s">
        <v>33</v>
      </c>
      <c r="D1" s="3" t="s">
        <v>34</v>
      </c>
      <c r="E1" s="3" t="s">
        <v>38</v>
      </c>
      <c r="F1" s="3"/>
    </row>
    <row r="2" spans="1:6" ht="15" thickTop="1" x14ac:dyDescent="0.3">
      <c r="A2" s="1">
        <v>1000</v>
      </c>
      <c r="B2" s="1"/>
      <c r="C2" s="1">
        <f>A2*$B$1</f>
        <v>180</v>
      </c>
      <c r="D2" s="1">
        <f>A2*B1</f>
        <v>180</v>
      </c>
      <c r="E2" s="1" t="s">
        <v>39</v>
      </c>
      <c r="F2" s="1" t="s">
        <v>40</v>
      </c>
    </row>
    <row r="3" spans="1:6" x14ac:dyDescent="0.3">
      <c r="A3" s="1">
        <v>2500</v>
      </c>
      <c r="B3" s="1"/>
      <c r="C3" s="1">
        <f>A3*$B$1</f>
        <v>450</v>
      </c>
      <c r="D3" s="1">
        <f>A3*B2</f>
        <v>0</v>
      </c>
      <c r="E3" s="1" t="s">
        <v>41</v>
      </c>
      <c r="F3" s="1" t="s">
        <v>42</v>
      </c>
    </row>
    <row r="4" spans="1:6" x14ac:dyDescent="0.3">
      <c r="A4" s="1">
        <v>799</v>
      </c>
      <c r="B4" s="1"/>
      <c r="C4" s="1">
        <f>A4*$B$1</f>
        <v>143.82</v>
      </c>
      <c r="D4" s="1">
        <f>A4*B3</f>
        <v>0</v>
      </c>
      <c r="E4" s="1" t="s">
        <v>43</v>
      </c>
      <c r="F4" s="1" t="s">
        <v>44</v>
      </c>
    </row>
    <row r="5" spans="1:6" x14ac:dyDescent="0.3">
      <c r="A5" s="1">
        <v>1499</v>
      </c>
      <c r="B5" s="1"/>
      <c r="C5" s="1">
        <f>A5*$B$1</f>
        <v>269.82</v>
      </c>
      <c r="D5" s="1">
        <f>A5*B4</f>
        <v>0</v>
      </c>
      <c r="E5" s="1" t="s">
        <v>45</v>
      </c>
      <c r="F5" s="1" t="s">
        <v>46</v>
      </c>
    </row>
    <row r="6" spans="1:6" x14ac:dyDescent="0.3">
      <c r="A6" s="1">
        <v>350</v>
      </c>
      <c r="B6" s="1"/>
      <c r="C6" s="1">
        <f>A6*$B$1</f>
        <v>63</v>
      </c>
      <c r="D6" s="1">
        <f>A6*B5</f>
        <v>0</v>
      </c>
      <c r="E6" s="1"/>
      <c r="F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Songs</vt:lpstr>
      <vt:lpstr>Artists</vt:lpstr>
      <vt:lpstr>RawOrders</vt:lpstr>
      <vt:lpstr>CorrectedOrders</vt:lpstr>
      <vt:lpstr>DataTypeNotes</vt:lpstr>
      <vt:lpstr>GST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 PATEL</dc:creator>
  <cp:lastModifiedBy>TEJ PATEL</cp:lastModifiedBy>
  <dcterms:created xsi:type="dcterms:W3CDTF">2026-08-16T17:02:29Z</dcterms:created>
  <dcterms:modified xsi:type="dcterms:W3CDTF">2026-09-14T13:42:44Z</dcterms:modified>
</cp:coreProperties>
</file>