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tops excel\Assignment\"/>
    </mc:Choice>
  </mc:AlternateContent>
  <xr:revisionPtr revIDLastSave="0" documentId="13_ncr:1_{250D303D-A3B1-4DD7-BDED-BA74651EB52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1 - XLOOKUP" sheetId="1" r:id="rId1"/>
    <sheet name="2 - Last Order" sheetId="2" r:id="rId2"/>
    <sheet name="3 - Genre Lookup" sheetId="3" r:id="rId3"/>
    <sheet name="4 - Booking Lookup" sheetId="4" r:id="rId4"/>
    <sheet name="5 - Delivery Date" sheetId="5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5" l="1"/>
  <c r="G3" i="5"/>
  <c r="G3" i="4"/>
  <c r="G9" i="4"/>
  <c r="G6" i="4"/>
  <c r="G6" i="3"/>
  <c r="G3" i="3"/>
  <c r="G3" i="2"/>
  <c r="G3" i="1"/>
  <c r="G4" i="1"/>
  <c r="G5" i="1"/>
  <c r="G6" i="1"/>
  <c r="G2" i="1"/>
</calcChain>
</file>

<file path=xl/sharedStrings.xml><?xml version="1.0" encoding="utf-8"?>
<sst xmlns="http://schemas.openxmlformats.org/spreadsheetml/2006/main" count="140" uniqueCount="106">
  <si>
    <t>Product ID</t>
  </si>
  <si>
    <t>Product Name</t>
  </si>
  <si>
    <t>Category</t>
  </si>
  <si>
    <t>Price (₹)</t>
  </si>
  <si>
    <t>FK101</t>
  </si>
  <si>
    <t>Wireless Mouse</t>
  </si>
  <si>
    <t>Electronics</t>
  </si>
  <si>
    <t>FK103</t>
  </si>
  <si>
    <t>FK102</t>
  </si>
  <si>
    <t>Bluetooth Speaker</t>
  </si>
  <si>
    <t>FK107</t>
  </si>
  <si>
    <t>Laptop Stand</t>
  </si>
  <si>
    <t>Accessories</t>
  </si>
  <si>
    <t>FK104</t>
  </si>
  <si>
    <t>USB-C Cable</t>
  </si>
  <si>
    <t>FK110</t>
  </si>
  <si>
    <t>FK105</t>
  </si>
  <si>
    <t>Power Bank</t>
  </si>
  <si>
    <t>FK106</t>
  </si>
  <si>
    <t>Keyboard</t>
  </si>
  <si>
    <t>Smart Watch</t>
  </si>
  <si>
    <t>Wearables</t>
  </si>
  <si>
    <t>FK108</t>
  </si>
  <si>
    <t>Headphones</t>
  </si>
  <si>
    <t>FK109</t>
  </si>
  <si>
    <t>Webcam</t>
  </si>
  <si>
    <t>Phone Cover</t>
  </si>
  <si>
    <t>Order ID</t>
  </si>
  <si>
    <t>Restaurant Name</t>
  </si>
  <si>
    <t>Order Date</t>
  </si>
  <si>
    <t>Amount (₹)</t>
  </si>
  <si>
    <t>ZM201</t>
  </si>
  <si>
    <t>Spice Hub</t>
  </si>
  <si>
    <t>Restaurant</t>
  </si>
  <si>
    <t>Last Order Amount</t>
  </si>
  <si>
    <t>ZM202</t>
  </si>
  <si>
    <t>Urban Tadka</t>
  </si>
  <si>
    <t>ZM203</t>
  </si>
  <si>
    <t>ZM204</t>
  </si>
  <si>
    <t>Pizza Corner</t>
  </si>
  <si>
    <t>ZM205</t>
  </si>
  <si>
    <t>ZM206</t>
  </si>
  <si>
    <t>ZM207</t>
  </si>
  <si>
    <t>ZM208</t>
  </si>
  <si>
    <t>Playlist Name</t>
  </si>
  <si>
    <t>Genre</t>
  </si>
  <si>
    <t>Created By</t>
  </si>
  <si>
    <t>Number of Songs</t>
  </si>
  <si>
    <t>Morning Acoustic</t>
  </si>
  <si>
    <t>Acoustic</t>
  </si>
  <si>
    <t>Aarav</t>
  </si>
  <si>
    <t>Workout Beats</t>
  </si>
  <si>
    <t>Pop</t>
  </si>
  <si>
    <t>Diya</t>
  </si>
  <si>
    <t>Jazz</t>
  </si>
  <si>
    <t>Chill Evenings</t>
  </si>
  <si>
    <t>Lo-fi</t>
  </si>
  <si>
    <t>Meera</t>
  </si>
  <si>
    <t>Road Trip Mix</t>
  </si>
  <si>
    <t>Rock</t>
  </si>
  <si>
    <t>Karan</t>
  </si>
  <si>
    <t>Try</t>
  </si>
  <si>
    <t>Focus Flow</t>
  </si>
  <si>
    <t>Classical</t>
  </si>
  <si>
    <t>Isha</t>
  </si>
  <si>
    <t>Bollywood Hits</t>
  </si>
  <si>
    <t>Bollywood</t>
  </si>
  <si>
    <t>Riya</t>
  </si>
  <si>
    <t>Booking ID</t>
  </si>
  <si>
    <t>Passenger Name</t>
  </si>
  <si>
    <t>Train Number</t>
  </si>
  <si>
    <t>Status</t>
  </si>
  <si>
    <t>IR101</t>
  </si>
  <si>
    <t>Rahul</t>
  </si>
  <si>
    <t>Confirmed</t>
  </si>
  <si>
    <t>Wrong Booking ID</t>
  </si>
  <si>
    <t>Default XLOOKUP</t>
  </si>
  <si>
    <t>IR102</t>
  </si>
  <si>
    <t>Neha</t>
  </si>
  <si>
    <t>RAC</t>
  </si>
  <si>
    <t>IR999</t>
  </si>
  <si>
    <t>IR103</t>
  </si>
  <si>
    <t>Amit</t>
  </si>
  <si>
    <t>IR104</t>
  </si>
  <si>
    <t>Priya</t>
  </si>
  <si>
    <t>Waiting</t>
  </si>
  <si>
    <t>Custom Not Found</t>
  </si>
  <si>
    <t>IR105</t>
  </si>
  <si>
    <t>Kunal</t>
  </si>
  <si>
    <t>IR106</t>
  </si>
  <si>
    <t>Sneha</t>
  </si>
  <si>
    <t>Cancelled</t>
  </si>
  <si>
    <t>Example Valid ID</t>
  </si>
  <si>
    <t>Customer</t>
  </si>
  <si>
    <t>Delivery Date</t>
  </si>
  <si>
    <t>MY101</t>
  </si>
  <si>
    <t>Ananya</t>
  </si>
  <si>
    <t>MY102</t>
  </si>
  <si>
    <t>Rohan</t>
  </si>
  <si>
    <t>MY104</t>
  </si>
  <si>
    <t>MY103</t>
  </si>
  <si>
    <t>Kavya</t>
  </si>
  <si>
    <t>Arjun</t>
  </si>
  <si>
    <t>XLOOKUP Formula</t>
  </si>
  <si>
    <t>MY105</t>
  </si>
  <si>
    <t>Nisha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</si>
</sst>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pane ySplit="1" topLeftCell="A2" activePane="bottomLeft" state="frozen"/>
      <selection pane="bottomLeft" activeCell="D7" sqref="D7"/>
    </sheetView>
  </sheetViews>
  <sheetFormatPr defaultRowHeight="14.4" x14ac:dyDescent="0.3"/>
  <cols>
    <col min="1" max="1" width="14" customWidth="1"/>
    <col min="2" max="2" width="22" customWidth="1"/>
    <col min="3" max="3" width="18" customWidth="1"/>
    <col min="4" max="4" width="14" customWidth="1"/>
    <col min="5" max="5" width="4" customWidth="1"/>
    <col min="6" max="6" width="14" customWidth="1"/>
    <col min="7" max="7" width="22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0</v>
      </c>
      <c r="G1" s="1" t="s">
        <v>1</v>
      </c>
    </row>
    <row r="2" spans="1:7" x14ac:dyDescent="0.3">
      <c r="A2" s="2" t="s">
        <v>4</v>
      </c>
      <c r="B2" s="2" t="s">
        <v>5</v>
      </c>
      <c r="C2" s="2" t="s">
        <v>6</v>
      </c>
      <c r="D2" s="2">
        <v>799</v>
      </c>
      <c r="E2" s="2"/>
      <c r="F2" s="2" t="s">
        <v>7</v>
      </c>
      <c r="G2" s="2" t="str">
        <f>_xlfn.XLOOKUP(F2,$A$2:$A$11,$B$2:$B$11,"Not Found")</f>
        <v>Laptop Stand</v>
      </c>
    </row>
    <row r="3" spans="1:7" x14ac:dyDescent="0.3">
      <c r="A3" s="2" t="s">
        <v>8</v>
      </c>
      <c r="B3" s="2" t="s">
        <v>9</v>
      </c>
      <c r="C3" s="2" t="s">
        <v>6</v>
      </c>
      <c r="D3" s="2">
        <v>1499</v>
      </c>
      <c r="E3" s="2"/>
      <c r="F3" s="2" t="s">
        <v>10</v>
      </c>
      <c r="G3" s="2" t="str">
        <f t="shared" ref="G3:G6" si="0">_xlfn.XLOOKUP(F3,$A$2:$A$11,$B$2:$B$11,"Not Found")</f>
        <v>Smart Watch</v>
      </c>
    </row>
    <row r="4" spans="1:7" x14ac:dyDescent="0.3">
      <c r="A4" s="2" t="s">
        <v>7</v>
      </c>
      <c r="B4" s="2" t="s">
        <v>11</v>
      </c>
      <c r="C4" s="2" t="s">
        <v>12</v>
      </c>
      <c r="D4" s="2">
        <v>999</v>
      </c>
      <c r="E4" s="2"/>
      <c r="F4" s="2" t="s">
        <v>4</v>
      </c>
      <c r="G4" s="2" t="str">
        <f t="shared" si="0"/>
        <v>Wireless Mouse</v>
      </c>
    </row>
    <row r="5" spans="1:7" x14ac:dyDescent="0.3">
      <c r="A5" s="2" t="s">
        <v>13</v>
      </c>
      <c r="B5" s="2" t="s">
        <v>14</v>
      </c>
      <c r="C5" s="2" t="s">
        <v>12</v>
      </c>
      <c r="D5" s="2">
        <v>399</v>
      </c>
      <c r="E5" s="2"/>
      <c r="F5" s="2" t="s">
        <v>15</v>
      </c>
      <c r="G5" s="2" t="str">
        <f t="shared" si="0"/>
        <v>Phone Cover</v>
      </c>
    </row>
    <row r="6" spans="1:7" x14ac:dyDescent="0.3">
      <c r="A6" s="2" t="s">
        <v>16</v>
      </c>
      <c r="B6" s="2" t="s">
        <v>17</v>
      </c>
      <c r="C6" s="2" t="s">
        <v>6</v>
      </c>
      <c r="D6" s="2">
        <v>1299</v>
      </c>
      <c r="E6" s="2"/>
      <c r="F6" s="2" t="s">
        <v>16</v>
      </c>
      <c r="G6" s="2" t="str">
        <f t="shared" si="0"/>
        <v>Power Bank</v>
      </c>
    </row>
    <row r="7" spans="1:7" x14ac:dyDescent="0.3">
      <c r="A7" s="2" t="s">
        <v>18</v>
      </c>
      <c r="B7" s="2" t="s">
        <v>19</v>
      </c>
      <c r="C7" s="2" t="s">
        <v>6</v>
      </c>
      <c r="D7" s="2">
        <v>1199</v>
      </c>
      <c r="E7" s="2"/>
      <c r="F7" s="2"/>
      <c r="G7" s="2"/>
    </row>
    <row r="8" spans="1:7" x14ac:dyDescent="0.3">
      <c r="A8" s="2" t="s">
        <v>10</v>
      </c>
      <c r="B8" s="2" t="s">
        <v>20</v>
      </c>
      <c r="C8" s="2" t="s">
        <v>21</v>
      </c>
      <c r="D8" s="2">
        <v>2499</v>
      </c>
      <c r="E8" s="2"/>
      <c r="F8" s="2"/>
      <c r="G8" s="2"/>
    </row>
    <row r="9" spans="1:7" x14ac:dyDescent="0.3">
      <c r="A9" s="2" t="s">
        <v>22</v>
      </c>
      <c r="B9" s="2" t="s">
        <v>23</v>
      </c>
      <c r="C9" s="2" t="s">
        <v>6</v>
      </c>
      <c r="D9" s="2">
        <v>1799</v>
      </c>
      <c r="E9" s="2"/>
      <c r="F9" s="2"/>
      <c r="G9" s="2"/>
    </row>
    <row r="10" spans="1:7" x14ac:dyDescent="0.3">
      <c r="A10" s="2" t="s">
        <v>24</v>
      </c>
      <c r="B10" s="2" t="s">
        <v>25</v>
      </c>
      <c r="C10" s="2" t="s">
        <v>6</v>
      </c>
      <c r="D10" s="2">
        <v>1599</v>
      </c>
      <c r="E10" s="2"/>
      <c r="F10" s="2"/>
      <c r="G10" s="2"/>
    </row>
    <row r="11" spans="1:7" x14ac:dyDescent="0.3">
      <c r="A11" s="2" t="s">
        <v>15</v>
      </c>
      <c r="B11" s="2" t="s">
        <v>26</v>
      </c>
      <c r="C11" s="2" t="s">
        <v>12</v>
      </c>
      <c r="D11" s="2">
        <v>299</v>
      </c>
      <c r="E11" s="2"/>
      <c r="F11" s="2"/>
      <c r="G1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pane ySplit="1" topLeftCell="A2" activePane="bottomLeft" state="frozen"/>
      <selection pane="bottomLeft" activeCell="G3" sqref="G3"/>
    </sheetView>
  </sheetViews>
  <sheetFormatPr defaultRowHeight="14.4" x14ac:dyDescent="0.3"/>
  <cols>
    <col min="1" max="1" width="14" customWidth="1"/>
    <col min="2" max="2" width="20" customWidth="1"/>
    <col min="3" max="3" width="16" customWidth="1"/>
    <col min="4" max="4" width="15" customWidth="1"/>
    <col min="5" max="5" width="4" customWidth="1"/>
    <col min="6" max="7" width="20" customWidth="1"/>
  </cols>
  <sheetData>
    <row r="1" spans="1:7" x14ac:dyDescent="0.3">
      <c r="A1" s="1" t="s">
        <v>27</v>
      </c>
      <c r="B1" s="1" t="s">
        <v>28</v>
      </c>
      <c r="C1" s="1" t="s">
        <v>29</v>
      </c>
      <c r="D1" s="1" t="s">
        <v>30</v>
      </c>
      <c r="E1" s="1"/>
      <c r="F1" s="1"/>
      <c r="G1" s="1"/>
    </row>
    <row r="2" spans="1:7" x14ac:dyDescent="0.3">
      <c r="A2" s="2" t="s">
        <v>31</v>
      </c>
      <c r="B2" s="2" t="s">
        <v>32</v>
      </c>
      <c r="C2" s="3">
        <v>46235</v>
      </c>
      <c r="D2" s="2">
        <v>540</v>
      </c>
      <c r="E2" s="2"/>
      <c r="F2" s="2" t="s">
        <v>33</v>
      </c>
      <c r="G2" s="2" t="s">
        <v>34</v>
      </c>
    </row>
    <row r="3" spans="1:7" x14ac:dyDescent="0.3">
      <c r="A3" s="2" t="s">
        <v>35</v>
      </c>
      <c r="B3" s="2" t="s">
        <v>36</v>
      </c>
      <c r="C3" s="3">
        <v>46236</v>
      </c>
      <c r="D3" s="2">
        <v>720</v>
      </c>
      <c r="E3" s="2"/>
      <c r="F3" s="2" t="s">
        <v>32</v>
      </c>
      <c r="G3" s="2">
        <f>_xlfn.XLOOKUP(F3,B2:B9,D2:D9,"Not Found",0,-1)</f>
        <v>760</v>
      </c>
    </row>
    <row r="4" spans="1:7" x14ac:dyDescent="0.3">
      <c r="A4" s="2" t="s">
        <v>37</v>
      </c>
      <c r="B4" s="2" t="s">
        <v>32</v>
      </c>
      <c r="C4" s="3">
        <v>46239</v>
      </c>
      <c r="D4" s="2">
        <v>680</v>
      </c>
      <c r="E4" s="2"/>
      <c r="F4" s="2"/>
      <c r="G4" s="2"/>
    </row>
    <row r="5" spans="1:7" x14ac:dyDescent="0.3">
      <c r="A5" s="2" t="s">
        <v>38</v>
      </c>
      <c r="B5" s="2" t="s">
        <v>39</v>
      </c>
      <c r="C5" s="3">
        <v>46240</v>
      </c>
      <c r="D5" s="2">
        <v>450</v>
      </c>
      <c r="E5" s="2"/>
      <c r="F5" s="2"/>
      <c r="G5" s="2"/>
    </row>
    <row r="6" spans="1:7" x14ac:dyDescent="0.3">
      <c r="A6" s="2" t="s">
        <v>40</v>
      </c>
      <c r="B6" s="2" t="s">
        <v>36</v>
      </c>
      <c r="C6" s="3">
        <v>46242</v>
      </c>
      <c r="D6" s="2">
        <v>810</v>
      </c>
      <c r="E6" s="2"/>
      <c r="F6" s="2"/>
      <c r="G6" s="2"/>
    </row>
    <row r="7" spans="1:7" x14ac:dyDescent="0.3">
      <c r="A7" s="2" t="s">
        <v>41</v>
      </c>
      <c r="B7" s="2" t="s">
        <v>32</v>
      </c>
      <c r="C7" s="3">
        <v>46246</v>
      </c>
      <c r="D7" s="2">
        <v>620</v>
      </c>
      <c r="E7" s="2"/>
      <c r="F7" s="2"/>
      <c r="G7" s="2"/>
    </row>
    <row r="8" spans="1:7" x14ac:dyDescent="0.3">
      <c r="A8" s="2" t="s">
        <v>42</v>
      </c>
      <c r="B8" s="2" t="s">
        <v>39</v>
      </c>
      <c r="C8" s="3">
        <v>46249</v>
      </c>
      <c r="D8" s="2">
        <v>520</v>
      </c>
      <c r="E8" s="2"/>
      <c r="F8" s="2"/>
      <c r="G8" s="2"/>
    </row>
    <row r="9" spans="1:7" x14ac:dyDescent="0.3">
      <c r="A9" s="2" t="s">
        <v>43</v>
      </c>
      <c r="B9" s="2" t="s">
        <v>32</v>
      </c>
      <c r="C9" s="3">
        <v>46254</v>
      </c>
      <c r="D9" s="2">
        <v>760</v>
      </c>
      <c r="E9" s="2"/>
      <c r="F9" s="2"/>
      <c r="G9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pane ySplit="1" topLeftCell="A2" activePane="bottomLeft" state="frozen"/>
      <selection pane="bottomLeft" activeCell="G6" sqref="G6"/>
    </sheetView>
  </sheetViews>
  <sheetFormatPr defaultRowHeight="14.4" x14ac:dyDescent="0.3"/>
  <cols>
    <col min="1" max="1" width="22" customWidth="1"/>
    <col min="2" max="3" width="16" customWidth="1"/>
    <col min="4" max="4" width="18" customWidth="1"/>
    <col min="5" max="5" width="8" customWidth="1"/>
    <col min="6" max="6" width="18" customWidth="1"/>
    <col min="7" max="7" width="24" customWidth="1"/>
  </cols>
  <sheetData>
    <row r="1" spans="1:7" x14ac:dyDescent="0.3">
      <c r="A1" s="1" t="s">
        <v>44</v>
      </c>
      <c r="B1" s="1" t="s">
        <v>45</v>
      </c>
      <c r="C1" s="1" t="s">
        <v>46</v>
      </c>
      <c r="D1" s="1" t="s">
        <v>47</v>
      </c>
      <c r="E1" s="1"/>
      <c r="F1" s="1"/>
      <c r="G1" s="1"/>
    </row>
    <row r="2" spans="1:7" x14ac:dyDescent="0.3">
      <c r="A2" s="2" t="s">
        <v>48</v>
      </c>
      <c r="B2" s="2" t="s">
        <v>49</v>
      </c>
      <c r="C2" s="2" t="s">
        <v>50</v>
      </c>
      <c r="D2" s="2">
        <v>32</v>
      </c>
      <c r="E2" s="2"/>
      <c r="F2" s="2" t="s">
        <v>45</v>
      </c>
      <c r="G2" s="2" t="s">
        <v>44</v>
      </c>
    </row>
    <row r="3" spans="1:7" x14ac:dyDescent="0.3">
      <c r="A3" s="2" t="s">
        <v>51</v>
      </c>
      <c r="B3" s="2" t="s">
        <v>52</v>
      </c>
      <c r="C3" s="2" t="s">
        <v>53</v>
      </c>
      <c r="D3" s="2">
        <v>48</v>
      </c>
      <c r="E3" s="2"/>
      <c r="F3" s="2" t="s">
        <v>54</v>
      </c>
      <c r="G3" s="2" t="str">
        <f>_xlfn.XLOOKUP(F3,B2:B7,A2:A7,"No playlist available")</f>
        <v>No playlist available</v>
      </c>
    </row>
    <row r="4" spans="1:7" x14ac:dyDescent="0.3">
      <c r="A4" s="2" t="s">
        <v>55</v>
      </c>
      <c r="B4" s="2" t="s">
        <v>56</v>
      </c>
      <c r="C4" s="2" t="s">
        <v>57</v>
      </c>
      <c r="D4" s="2">
        <v>41</v>
      </c>
      <c r="E4" s="2"/>
      <c r="F4" s="2"/>
      <c r="G4" s="2"/>
    </row>
    <row r="5" spans="1:7" x14ac:dyDescent="0.3">
      <c r="A5" s="2" t="s">
        <v>58</v>
      </c>
      <c r="B5" s="2" t="s">
        <v>59</v>
      </c>
      <c r="C5" s="2" t="s">
        <v>60</v>
      </c>
      <c r="D5" s="2">
        <v>55</v>
      </c>
      <c r="E5" s="2"/>
      <c r="F5" s="2" t="s">
        <v>61</v>
      </c>
      <c r="G5" s="2"/>
    </row>
    <row r="6" spans="1:7" x14ac:dyDescent="0.3">
      <c r="A6" s="2" t="s">
        <v>62</v>
      </c>
      <c r="B6" s="2" t="s">
        <v>63</v>
      </c>
      <c r="C6" s="2" t="s">
        <v>64</v>
      </c>
      <c r="D6" s="2">
        <v>36</v>
      </c>
      <c r="E6" s="2"/>
      <c r="F6" s="2" t="s">
        <v>59</v>
      </c>
      <c r="G6" s="2" t="str">
        <f>_xlfn.XLOOKUP(F6,B2:B7,A2:A7,"No playlist available")</f>
        <v>Road Trip Mix</v>
      </c>
    </row>
    <row r="7" spans="1:7" x14ac:dyDescent="0.3">
      <c r="A7" s="2" t="s">
        <v>65</v>
      </c>
      <c r="B7" s="2" t="s">
        <v>66</v>
      </c>
      <c r="C7" s="2" t="s">
        <v>67</v>
      </c>
      <c r="D7" s="2">
        <v>60</v>
      </c>
      <c r="E7" s="2"/>
      <c r="F7" s="2"/>
      <c r="G7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>
      <pane ySplit="1" topLeftCell="A2" activePane="bottomLeft" state="frozen"/>
      <selection pane="bottomLeft" activeCell="G3" sqref="G3"/>
    </sheetView>
  </sheetViews>
  <sheetFormatPr defaultRowHeight="14.4" x14ac:dyDescent="0.3"/>
  <cols>
    <col min="1" max="1" width="14" customWidth="1"/>
    <col min="2" max="2" width="18" customWidth="1"/>
    <col min="3" max="3" width="15" customWidth="1"/>
    <col min="4" max="4" width="16" customWidth="1"/>
    <col min="5" max="5" width="4" customWidth="1"/>
    <col min="6" max="6" width="20" customWidth="1"/>
    <col min="7" max="7" width="24" customWidth="1"/>
  </cols>
  <sheetData>
    <row r="1" spans="1:7" x14ac:dyDescent="0.3">
      <c r="A1" s="1" t="s">
        <v>68</v>
      </c>
      <c r="B1" s="1" t="s">
        <v>69</v>
      </c>
      <c r="C1" s="1" t="s">
        <v>70</v>
      </c>
      <c r="D1" s="1" t="s">
        <v>71</v>
      </c>
      <c r="E1" s="1"/>
      <c r="F1" s="1"/>
      <c r="G1" s="1"/>
    </row>
    <row r="2" spans="1:7" x14ac:dyDescent="0.3">
      <c r="A2" s="2" t="s">
        <v>72</v>
      </c>
      <c r="B2" s="2" t="s">
        <v>73</v>
      </c>
      <c r="C2" s="2">
        <v>12951</v>
      </c>
      <c r="D2" s="2" t="s">
        <v>74</v>
      </c>
      <c r="E2" s="2"/>
      <c r="F2" s="2" t="s">
        <v>75</v>
      </c>
      <c r="G2" s="2" t="s">
        <v>76</v>
      </c>
    </row>
    <row r="3" spans="1:7" x14ac:dyDescent="0.3">
      <c r="A3" s="2" t="s">
        <v>77</v>
      </c>
      <c r="B3" s="2" t="s">
        <v>78</v>
      </c>
      <c r="C3" s="2">
        <v>12009</v>
      </c>
      <c r="D3" s="2" t="s">
        <v>79</v>
      </c>
      <c r="E3" s="2"/>
      <c r="F3" s="2" t="s">
        <v>80</v>
      </c>
      <c r="G3" s="2" t="str">
        <f>_xlfn.XLOOKUP(F3,A2:A7,D2:D7,"Booking Not Found")</f>
        <v>Booking Not Found</v>
      </c>
    </row>
    <row r="4" spans="1:7" x14ac:dyDescent="0.3">
      <c r="A4" s="2" t="s">
        <v>81</v>
      </c>
      <c r="B4" s="2" t="s">
        <v>82</v>
      </c>
      <c r="C4" s="2">
        <v>12952</v>
      </c>
      <c r="D4" s="2" t="s">
        <v>74</v>
      </c>
      <c r="E4" s="2"/>
      <c r="F4" s="2"/>
      <c r="G4" s="2"/>
    </row>
    <row r="5" spans="1:7" x14ac:dyDescent="0.3">
      <c r="A5" s="2" t="s">
        <v>83</v>
      </c>
      <c r="B5" s="2" t="s">
        <v>84</v>
      </c>
      <c r="C5" s="2">
        <v>12901</v>
      </c>
      <c r="D5" s="2" t="s">
        <v>85</v>
      </c>
      <c r="E5" s="2"/>
      <c r="F5" s="2" t="s">
        <v>75</v>
      </c>
      <c r="G5" s="2" t="s">
        <v>86</v>
      </c>
    </row>
    <row r="6" spans="1:7" x14ac:dyDescent="0.3">
      <c r="A6" s="2" t="s">
        <v>87</v>
      </c>
      <c r="B6" s="2" t="s">
        <v>88</v>
      </c>
      <c r="C6" s="2">
        <v>12010</v>
      </c>
      <c r="D6" s="2" t="s">
        <v>74</v>
      </c>
      <c r="E6" s="2"/>
      <c r="F6" s="2" t="s">
        <v>80</v>
      </c>
      <c r="G6" s="2" t="str">
        <f>_xlfn.XLOOKUP(F6,A2:A7,D2:D7,"Booking Not Found")</f>
        <v>Booking Not Found</v>
      </c>
    </row>
    <row r="7" spans="1:7" x14ac:dyDescent="0.3">
      <c r="A7" s="2" t="s">
        <v>89</v>
      </c>
      <c r="B7" s="2" t="s">
        <v>90</v>
      </c>
      <c r="C7" s="2">
        <v>12953</v>
      </c>
      <c r="D7" s="2" t="s">
        <v>91</v>
      </c>
      <c r="E7" s="2"/>
      <c r="F7" s="2"/>
      <c r="G7" s="2"/>
    </row>
    <row r="8" spans="1:7" x14ac:dyDescent="0.3">
      <c r="A8" s="2"/>
      <c r="B8" s="2"/>
      <c r="C8" s="2"/>
      <c r="D8" s="2"/>
      <c r="E8" s="2"/>
      <c r="F8" s="2" t="s">
        <v>92</v>
      </c>
      <c r="G8" s="2" t="s">
        <v>71</v>
      </c>
    </row>
    <row r="9" spans="1:7" x14ac:dyDescent="0.3">
      <c r="A9" s="2"/>
      <c r="B9" s="2"/>
      <c r="C9" s="2"/>
      <c r="D9" s="2"/>
      <c r="E9" s="2"/>
      <c r="F9" s="2" t="s">
        <v>81</v>
      </c>
      <c r="G9" s="2" t="str">
        <f>_xlfn.XLOOKUP(F9,A2:A7,D2:D7,"Booking Not Found")</f>
        <v>Confirmed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4.4" x14ac:dyDescent="0.3"/>
  <cols>
    <col min="1" max="1" width="14" customWidth="1"/>
    <col min="2" max="2" width="18" customWidth="1"/>
    <col min="3" max="3" width="16" customWidth="1"/>
    <col min="4" max="4" width="18" customWidth="1"/>
    <col min="5" max="5" width="4" customWidth="1"/>
    <col min="6" max="7" width="22" customWidth="1"/>
  </cols>
  <sheetData>
    <row r="1" spans="1:7" x14ac:dyDescent="0.3">
      <c r="A1" s="1" t="s">
        <v>27</v>
      </c>
      <c r="B1" s="1" t="s">
        <v>93</v>
      </c>
      <c r="C1" s="1" t="s">
        <v>29</v>
      </c>
      <c r="D1" s="1" t="s">
        <v>94</v>
      </c>
      <c r="E1" s="1"/>
      <c r="F1" s="1"/>
      <c r="G1" s="1"/>
    </row>
    <row r="2" spans="1:7" x14ac:dyDescent="0.3">
      <c r="A2" s="2" t="s">
        <v>95</v>
      </c>
      <c r="B2" s="2" t="s">
        <v>96</v>
      </c>
      <c r="C2" s="3">
        <v>46254</v>
      </c>
      <c r="D2" s="3">
        <v>46258</v>
      </c>
      <c r="E2" s="2"/>
      <c r="F2" s="2" t="s">
        <v>27</v>
      </c>
      <c r="G2" s="2" t="s">
        <v>94</v>
      </c>
    </row>
    <row r="3" spans="1:7" x14ac:dyDescent="0.3">
      <c r="A3" s="2" t="s">
        <v>97</v>
      </c>
      <c r="B3" s="2" t="s">
        <v>98</v>
      </c>
      <c r="C3" s="3">
        <v>46255</v>
      </c>
      <c r="D3" s="3">
        <v>46260</v>
      </c>
      <c r="E3" s="2"/>
      <c r="F3" s="2" t="s">
        <v>99</v>
      </c>
      <c r="G3" s="2">
        <f>_xlfn.XLOOKUP(F3,A2:A6,D2:D6,"Order Not Found")</f>
        <v>46262</v>
      </c>
    </row>
    <row r="4" spans="1:7" x14ac:dyDescent="0.3">
      <c r="A4" s="2" t="s">
        <v>100</v>
      </c>
      <c r="B4" s="2" t="s">
        <v>101</v>
      </c>
      <c r="C4" s="3">
        <v>46256</v>
      </c>
      <c r="D4" s="3">
        <v>46261</v>
      </c>
      <c r="E4" s="2"/>
      <c r="F4" s="2"/>
      <c r="G4" s="2"/>
    </row>
    <row r="5" spans="1:7" x14ac:dyDescent="0.3">
      <c r="A5" s="2" t="s">
        <v>99</v>
      </c>
      <c r="B5" s="2" t="s">
        <v>102</v>
      </c>
      <c r="C5" s="3">
        <v>46257</v>
      </c>
      <c r="D5" s="3">
        <v>46262</v>
      </c>
      <c r="E5" s="2"/>
      <c r="F5" s="2" t="s">
        <v>103</v>
      </c>
      <c r="G5" s="2"/>
    </row>
    <row r="6" spans="1:7" x14ac:dyDescent="0.3">
      <c r="A6" s="2" t="s">
        <v>104</v>
      </c>
      <c r="B6" s="2" t="s">
        <v>105</v>
      </c>
      <c r="C6" s="3">
        <v>46258</v>
      </c>
      <c r="D6" s="3">
        <v>46264</v>
      </c>
      <c r="E6" s="2"/>
      <c r="F6" s="2">
        <f>_xlfn.XLOOKUP(F3,A2:A6,D2:D6,"Order Not Found")</f>
        <v>46262</v>
      </c>
      <c r="G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1 - XLOOKUP</vt:lpstr>
      <vt:lpstr>2 - Last Order</vt:lpstr>
      <vt:lpstr>3 - Genre Lookup</vt:lpstr>
      <vt:lpstr>4 - Booking Lookup</vt:lpstr>
      <vt:lpstr>5 - Delivery 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 PATEL</cp:lastModifiedBy>
  <dcterms:created xsi:type="dcterms:W3CDTF">2026-09-06T09:48:43Z</dcterms:created>
  <dcterms:modified xsi:type="dcterms:W3CDTF">2026-09-06T10:39:15Z</dcterms:modified>
</cp:coreProperties>
</file>