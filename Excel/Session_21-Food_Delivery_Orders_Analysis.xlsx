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ps excel\Assignment\"/>
    </mc:Choice>
  </mc:AlternateContent>
  <xr:revisionPtr revIDLastSave="0" documentId="13_ncr:1_{558C55C2-10E1-48B0-A085-9F2B8B311B0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1 - Cleaned Data" sheetId="1" r:id="rId1"/>
    <sheet name="2 - Restaurant Lookup" sheetId="2" r:id="rId2"/>
    <sheet name="Restaurant Details" sheetId="3" r:id="rId3"/>
    <sheet name="3 - Day of Week" sheetId="4" r:id="rId4"/>
    <sheet name="4 - City Summary" sheetId="5" r:id="rId5"/>
    <sheet name="5 - Mini Dashboard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2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2" i="2"/>
  <c r="C23" i="7"/>
  <c r="C22" i="7"/>
  <c r="C21" i="7"/>
  <c r="C20" i="7"/>
  <c r="C19" i="7"/>
  <c r="C18" i="7"/>
  <c r="C17" i="7"/>
  <c r="C16" i="7"/>
  <c r="F14" i="7" s="1"/>
  <c r="E14" i="7" s="1"/>
  <c r="C15" i="7"/>
  <c r="F12" i="7" s="1"/>
  <c r="E12" i="7" s="1"/>
  <c r="C14" i="7"/>
  <c r="F13" i="7"/>
  <c r="E13" i="7" s="1"/>
  <c r="C13" i="7"/>
  <c r="C12" i="7"/>
  <c r="D7" i="7"/>
  <c r="B7" i="7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</calcChain>
</file>

<file path=xl/sharedStrings.xml><?xml version="1.0" encoding="utf-8"?>
<sst xmlns="http://schemas.openxmlformats.org/spreadsheetml/2006/main" count="1003" uniqueCount="121">
  <si>
    <t>Order ID</t>
  </si>
  <si>
    <t>Restaurant ID</t>
  </si>
  <si>
    <t>City</t>
  </si>
  <si>
    <t>Order Date</t>
  </si>
  <si>
    <t>Delivery Date</t>
  </si>
  <si>
    <t>Delivery Time (min)</t>
  </si>
  <si>
    <t>Delivery Charge</t>
  </si>
  <si>
    <t>Delivery Partner</t>
  </si>
  <si>
    <t>Status</t>
  </si>
  <si>
    <t>O001</t>
  </si>
  <si>
    <t>R003</t>
  </si>
  <si>
    <t>Mumbai</t>
  </si>
  <si>
    <t>Priya</t>
  </si>
  <si>
    <t>Delivered</t>
  </si>
  <si>
    <t>O002</t>
  </si>
  <si>
    <t>R009</t>
  </si>
  <si>
    <t>Bengaluru</t>
  </si>
  <si>
    <t>Amit</t>
  </si>
  <si>
    <t>Cancelled</t>
  </si>
  <si>
    <t>O003</t>
  </si>
  <si>
    <t>R007</t>
  </si>
  <si>
    <t>Delhi</t>
  </si>
  <si>
    <t>Unassigned</t>
  </si>
  <si>
    <t>O004</t>
  </si>
  <si>
    <t>O005</t>
  </si>
  <si>
    <t>R008</t>
  </si>
  <si>
    <t>O006</t>
  </si>
  <si>
    <t>R002</t>
  </si>
  <si>
    <t>Ahmedabad</t>
  </si>
  <si>
    <t>Karan</t>
  </si>
  <si>
    <t>O007</t>
  </si>
  <si>
    <t>Rahul</t>
  </si>
  <si>
    <t>O008</t>
  </si>
  <si>
    <t>R004</t>
  </si>
  <si>
    <t>O009</t>
  </si>
  <si>
    <t>R012</t>
  </si>
  <si>
    <t>Jaipur</t>
  </si>
  <si>
    <t>O010</t>
  </si>
  <si>
    <t>O011</t>
  </si>
  <si>
    <t>Neha</t>
  </si>
  <si>
    <t>O012</t>
  </si>
  <si>
    <t>R001</t>
  </si>
  <si>
    <t>O013</t>
  </si>
  <si>
    <t>O014</t>
  </si>
  <si>
    <t>O015</t>
  </si>
  <si>
    <t>R011</t>
  </si>
  <si>
    <t>O016</t>
  </si>
  <si>
    <t>O017</t>
  </si>
  <si>
    <t>R006</t>
  </si>
  <si>
    <t>Pune</t>
  </si>
  <si>
    <t>O018</t>
  </si>
  <si>
    <t>O019</t>
  </si>
  <si>
    <t>O020</t>
  </si>
  <si>
    <t>O021</t>
  </si>
  <si>
    <t>R005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</si>
  <si>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</si>
  <si>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</si>
  <si>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</si>
  <si>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</si>
  <si>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</si>
  <si>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</si>
  <si>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</si>
  <si>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</si>
  <si>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</si>
  <si>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</si>
  <si>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</si>
  <si>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</si>
  <si>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</si>
  <si>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</si>
  <si>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</si>
  <si>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</si>
  <si>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</si>
  <si>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</si>
  <si>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</si>
  <si>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</si>
  <si>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</si>
  <si>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</si>
  <si>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</si>
  <si>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</si>
  <si>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</si>
  <si>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</si>
  <si>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</si>
  <si>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</si>
  <si>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</si>
  <si>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</si>
  <si>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</si>
  <si>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</si>
  <si>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</si>
  <si>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</si>
  <si>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</si>
  <si>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</si>
  <si>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</si>
  <si>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</si>
  <si>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</si>
  <si>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Restaurant Name</t>
  </si>
  <si>
    <t>Spice Hub</t>
  </si>
  <si>
    <t>Urban Tadka</t>
  </si>
  <si>
    <t>Pizza Point</t>
  </si>
  <si>
    <t>Biryani House</t>
  </si>
  <si>
    <t>Green Bowl</t>
  </si>
  <si>
    <t>South Express</t>
  </si>
  <si>
    <t>Burger Street</t>
  </si>
  <si>
    <t>Curry Culture</t>
  </si>
  <si>
    <t>The Dosa Cafe</t>
  </si>
  <si>
    <t>R010</t>
  </si>
  <si>
    <t>Noodle Box</t>
  </si>
  <si>
    <t>Royal Thali</t>
  </si>
  <si>
    <t>Chaat Corner</t>
  </si>
  <si>
    <t>Day of Week</t>
  </si>
  <si>
    <t>Total Orders</t>
  </si>
  <si>
    <t>Total Delivery Charges</t>
  </si>
  <si>
    <t>Food Delivery Mini Dashboard</t>
  </si>
  <si>
    <t>City Filter</t>
  </si>
  <si>
    <t>All</t>
  </si>
  <si>
    <t>Average Delivery Time</t>
  </si>
  <si>
    <t>Top Restaurants by Orders</t>
  </si>
  <si>
    <t>Top 3</t>
  </si>
  <si>
    <t>Restaurant</t>
  </si>
  <si>
    <t>Orders</t>
  </si>
  <si>
    <t>City filter</t>
  </si>
  <si>
    <t>Use the dropdown in C4 to change the dashboard 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</si>
</sst>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₹0"/>
    <numFmt numFmtId="166" formatCode="0.0&quot; min&quot;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14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0" fontId="3" fillId="0" borderId="1" xfId="0" applyFont="1" applyBorder="1"/>
    <xf numFmtId="166" fontId="3" fillId="0" borderId="1" xfId="0" applyNumberFormat="1" applyFont="1" applyBorder="1"/>
    <xf numFmtId="0" fontId="1" fillId="0" borderId="0" xfId="0" applyFont="1"/>
    <xf numFmtId="0" fontId="4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Delivery Charges by City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'4 - City Summary'!$C$1</c:f>
              <c:strCache>
                <c:ptCount val="1"/>
                <c:pt idx="0">
                  <c:v>Total Delivery Charges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'4 - City Summary'!$A$2:$A$7</c:f>
              <c:strCache>
                <c:ptCount val="6"/>
                <c:pt idx="0">
                  <c:v>Ahmedabad</c:v>
                </c:pt>
                <c:pt idx="1">
                  <c:v>Bengaluru</c:v>
                </c:pt>
                <c:pt idx="2">
                  <c:v>Delhi</c:v>
                </c:pt>
                <c:pt idx="3">
                  <c:v>Jaipur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'4 - City Summary'!$C$2:$C$7</c:f>
              <c:numCache>
                <c:formatCode>\₹0</c:formatCode>
                <c:ptCount val="6"/>
                <c:pt idx="0">
                  <c:v>390</c:v>
                </c:pt>
                <c:pt idx="1">
                  <c:v>135</c:v>
                </c:pt>
                <c:pt idx="2">
                  <c:v>610</c:v>
                </c:pt>
                <c:pt idx="3">
                  <c:v>305</c:v>
                </c:pt>
                <c:pt idx="4">
                  <c:v>475</c:v>
                </c:pt>
                <c:pt idx="5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6-4E9A-989C-E20CDEF1F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3 Restaurants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'5 - Mini Dashboard'!$F$11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'5 - Mini Dashboard'!$E$12:$E$14</c:f>
              <c:strCache>
                <c:ptCount val="3"/>
                <c:pt idx="0">
                  <c:v>Burger Street</c:v>
                </c:pt>
                <c:pt idx="1">
                  <c:v>Spice Hub</c:v>
                </c:pt>
                <c:pt idx="2">
                  <c:v>Spice Hub</c:v>
                </c:pt>
              </c:strCache>
            </c:strRef>
          </c:cat>
          <c:val>
            <c:numRef>
              <c:f>'5 - Mini Dashboard'!$F$12:$F$14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B-4099-99B2-C2BC1FE9E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Orders" displayName="CleanedOrders" ref="A1:I61">
  <autoFilter ref="A1:I61" xr:uid="{00000000-0009-0000-0100-000001000000}"/>
  <tableColumns count="9">
    <tableColumn id="1" xr3:uid="{00000000-0010-0000-0000-000001000000}" name="Order ID"/>
    <tableColumn id="2" xr3:uid="{00000000-0010-0000-0000-000002000000}" name="Restaurant ID"/>
    <tableColumn id="3" xr3:uid="{00000000-0010-0000-0000-000003000000}" name="City"/>
    <tableColumn id="4" xr3:uid="{00000000-0010-0000-0000-000004000000}" name="Order Date"/>
    <tableColumn id="5" xr3:uid="{00000000-0010-0000-0000-000005000000}" name="Delivery Date"/>
    <tableColumn id="6" xr3:uid="{00000000-0010-0000-0000-000006000000}" name="Delivery Time (min)"/>
    <tableColumn id="7" xr3:uid="{00000000-0010-0000-0000-000007000000}" name="Delivery Charge"/>
    <tableColumn id="8" xr3:uid="{00000000-0010-0000-0000-000008000000}" name="Delivery Partner"/>
    <tableColumn id="9" xr3:uid="{00000000-0010-0000-0000-000009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sWithRestaurant" displayName="OrdersWithRestaurant" ref="A1:J61">
  <autoFilter ref="A1:J61" xr:uid="{00000000-0009-0000-0100-000002000000}"/>
  <tableColumns count="10">
    <tableColumn id="1" xr3:uid="{00000000-0010-0000-0100-000001000000}" name="Order ID"/>
    <tableColumn id="2" xr3:uid="{00000000-0010-0000-0100-000002000000}" name="Restaurant ID"/>
    <tableColumn id="3" xr3:uid="{00000000-0010-0000-0100-000003000000}" name="City"/>
    <tableColumn id="4" xr3:uid="{00000000-0010-0000-0100-000004000000}" name="Order Date"/>
    <tableColumn id="5" xr3:uid="{00000000-0010-0000-0100-000005000000}" name="Delivery Date"/>
    <tableColumn id="6" xr3:uid="{00000000-0010-0000-0100-000006000000}" name="Delivery Time (min)"/>
    <tableColumn id="7" xr3:uid="{00000000-0010-0000-0100-000007000000}" name="Delivery Charge"/>
    <tableColumn id="8" xr3:uid="{00000000-0010-0000-0100-000008000000}" name="Delivery Partner"/>
    <tableColumn id="9" xr3:uid="{00000000-0010-0000-0100-000009000000}" name="Status"/>
    <tableColumn id="10" xr3:uid="{00000000-0010-0000-0100-00000A000000}" name="Restaurant Name">
      <calculatedColumnFormula>_xlfn.XLOOKUP(B2,'Restaurant Details'!$A$2:$A$13,'Restaurant Details'!$B$2:$B$13,"Not Found")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taurantDetails" displayName="RestaurantDetails" ref="A1:C13">
  <autoFilter ref="A1:C13" xr:uid="{00000000-0009-0000-0100-000003000000}"/>
  <tableColumns count="3">
    <tableColumn id="1" xr3:uid="{00000000-0010-0000-0200-000001000000}" name="Restaurant ID"/>
    <tableColumn id="2" xr3:uid="{00000000-0010-0000-0200-000002000000}" name="Restaurant Name"/>
    <tableColumn id="3" xr3:uid="{00000000-0010-0000-0200-000003000000}" name="C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rdersWithDay" displayName="OrdersWithDay" ref="A1:K61">
  <autoFilter ref="A1:K61" xr:uid="{00000000-0009-0000-0100-000004000000}"/>
  <tableColumns count="11">
    <tableColumn id="1" xr3:uid="{00000000-0010-0000-0300-000001000000}" name="Order ID"/>
    <tableColumn id="2" xr3:uid="{00000000-0010-0000-0300-000002000000}" name="Restaurant ID"/>
    <tableColumn id="3" xr3:uid="{00000000-0010-0000-0300-000003000000}" name="City"/>
    <tableColumn id="4" xr3:uid="{00000000-0010-0000-0300-000004000000}" name="Order Date"/>
    <tableColumn id="5" xr3:uid="{00000000-0010-0000-0300-000005000000}" name="Delivery Date"/>
    <tableColumn id="6" xr3:uid="{00000000-0010-0000-0300-000006000000}" name="Delivery Time (min)"/>
    <tableColumn id="7" xr3:uid="{00000000-0010-0000-0300-000007000000}" name="Delivery Charge"/>
    <tableColumn id="8" xr3:uid="{00000000-0010-0000-0300-000008000000}" name="Delivery Partner"/>
    <tableColumn id="9" xr3:uid="{00000000-0010-0000-0300-000009000000}" name="Status"/>
    <tableColumn id="10" xr3:uid="{00000000-0010-0000-0300-00000A000000}" name="Restaurant Name">
      <calculatedColumnFormula>_xlfn.XLOOKUP(B2,'Restaurant Details'!$A$2:$A$13,'Restaurant Details'!$B$2:$B$13,"Not Found")</calculatedColumnFormula>
    </tableColumn>
    <tableColumn id="11" xr3:uid="{00000000-0010-0000-0300-00000B000000}" name="Day of Wee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itySummary" displayName="CitySummary" ref="A1:C7">
  <autoFilter ref="A1:C7" xr:uid="{00000000-0009-0000-0100-000005000000}"/>
  <tableColumns count="3">
    <tableColumn id="1" xr3:uid="{00000000-0010-0000-0400-000001000000}" name="City"/>
    <tableColumn id="2" xr3:uid="{00000000-0010-0000-0400-000002000000}" name="Total Orders"/>
    <tableColumn id="3" xr3:uid="{00000000-0010-0000-0400-000003000000}" name="Total Delivery Char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" width="14" customWidth="1"/>
    <col min="6" max="6" width="20" customWidth="1"/>
    <col min="7" max="7" width="16" customWidth="1"/>
    <col min="8" max="8" width="18" customWidth="1"/>
    <col min="9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s="2">
        <v>46053</v>
      </c>
      <c r="E2" s="2">
        <v>46056</v>
      </c>
      <c r="F2">
        <v>40</v>
      </c>
      <c r="G2">
        <v>40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 s="2">
        <v>46038</v>
      </c>
      <c r="E3" s="2">
        <v>46039</v>
      </c>
      <c r="F3">
        <v>22</v>
      </c>
      <c r="G3">
        <v>25</v>
      </c>
      <c r="H3" t="s">
        <v>17</v>
      </c>
      <c r="I3" t="s">
        <v>18</v>
      </c>
    </row>
    <row r="4" spans="1:9" x14ac:dyDescent="0.3">
      <c r="A4" t="s">
        <v>19</v>
      </c>
      <c r="B4" t="s">
        <v>20</v>
      </c>
      <c r="C4" t="s">
        <v>21</v>
      </c>
      <c r="D4" s="2">
        <v>46031</v>
      </c>
      <c r="E4" s="2">
        <v>46032</v>
      </c>
      <c r="F4">
        <v>36</v>
      </c>
      <c r="G4">
        <v>30</v>
      </c>
      <c r="H4" t="s">
        <v>22</v>
      </c>
      <c r="I4" t="s">
        <v>13</v>
      </c>
    </row>
    <row r="5" spans="1:9" x14ac:dyDescent="0.3">
      <c r="A5" t="s">
        <v>23</v>
      </c>
      <c r="B5" t="s">
        <v>20</v>
      </c>
      <c r="C5" t="s">
        <v>21</v>
      </c>
      <c r="D5" s="2">
        <v>46074</v>
      </c>
      <c r="E5" s="2">
        <v>46077</v>
      </c>
      <c r="F5">
        <v>50</v>
      </c>
      <c r="G5">
        <v>25</v>
      </c>
      <c r="H5" t="s">
        <v>17</v>
      </c>
      <c r="I5" t="s">
        <v>18</v>
      </c>
    </row>
    <row r="6" spans="1:9" x14ac:dyDescent="0.3">
      <c r="A6" t="s">
        <v>24</v>
      </c>
      <c r="B6" t="s">
        <v>25</v>
      </c>
      <c r="C6" t="s">
        <v>21</v>
      </c>
      <c r="D6" s="2">
        <v>46071</v>
      </c>
      <c r="E6" s="2">
        <v>46071</v>
      </c>
      <c r="F6">
        <v>45</v>
      </c>
      <c r="G6">
        <v>25</v>
      </c>
      <c r="H6" t="s">
        <v>12</v>
      </c>
      <c r="I6" t="s">
        <v>13</v>
      </c>
    </row>
    <row r="7" spans="1:9" x14ac:dyDescent="0.3">
      <c r="A7" t="s">
        <v>26</v>
      </c>
      <c r="B7" t="s">
        <v>27</v>
      </c>
      <c r="C7" t="s">
        <v>28</v>
      </c>
      <c r="D7" s="2">
        <v>46078</v>
      </c>
      <c r="E7" s="2">
        <v>46078</v>
      </c>
      <c r="F7">
        <v>51</v>
      </c>
      <c r="G7">
        <v>30</v>
      </c>
      <c r="H7" t="s">
        <v>29</v>
      </c>
      <c r="I7" t="s">
        <v>13</v>
      </c>
    </row>
    <row r="8" spans="1:9" x14ac:dyDescent="0.3">
      <c r="A8" t="s">
        <v>30</v>
      </c>
      <c r="B8" t="s">
        <v>20</v>
      </c>
      <c r="C8" t="s">
        <v>21</v>
      </c>
      <c r="D8" s="2">
        <v>46058</v>
      </c>
      <c r="E8" s="2">
        <v>46059</v>
      </c>
      <c r="F8">
        <v>33</v>
      </c>
      <c r="G8">
        <v>50</v>
      </c>
      <c r="H8" t="s">
        <v>31</v>
      </c>
      <c r="I8" t="s">
        <v>13</v>
      </c>
    </row>
    <row r="9" spans="1:9" x14ac:dyDescent="0.3">
      <c r="A9" t="s">
        <v>32</v>
      </c>
      <c r="B9" t="s">
        <v>33</v>
      </c>
      <c r="C9" t="s">
        <v>11</v>
      </c>
      <c r="D9" s="2">
        <v>46031</v>
      </c>
      <c r="E9" s="2">
        <v>46032</v>
      </c>
      <c r="F9">
        <v>35</v>
      </c>
      <c r="G9">
        <v>50</v>
      </c>
      <c r="H9" t="s">
        <v>22</v>
      </c>
      <c r="I9" t="s">
        <v>18</v>
      </c>
    </row>
    <row r="10" spans="1:9" x14ac:dyDescent="0.3">
      <c r="A10" t="s">
        <v>34</v>
      </c>
      <c r="B10" t="s">
        <v>35</v>
      </c>
      <c r="C10" t="s">
        <v>36</v>
      </c>
      <c r="D10" s="2">
        <v>46031</v>
      </c>
      <c r="E10" s="2">
        <v>46031</v>
      </c>
      <c r="F10">
        <v>57</v>
      </c>
      <c r="G10">
        <v>40</v>
      </c>
      <c r="H10" t="s">
        <v>29</v>
      </c>
      <c r="I10" t="s">
        <v>13</v>
      </c>
    </row>
    <row r="11" spans="1:9" x14ac:dyDescent="0.3">
      <c r="A11" t="s">
        <v>37</v>
      </c>
      <c r="B11" t="s">
        <v>33</v>
      </c>
      <c r="C11" t="s">
        <v>11</v>
      </c>
      <c r="D11" s="2">
        <v>46048</v>
      </c>
      <c r="E11" s="2">
        <v>46049</v>
      </c>
      <c r="F11">
        <v>56</v>
      </c>
      <c r="G11">
        <v>40</v>
      </c>
      <c r="H11" t="s">
        <v>17</v>
      </c>
      <c r="I11" t="s">
        <v>13</v>
      </c>
    </row>
    <row r="12" spans="1:9" x14ac:dyDescent="0.3">
      <c r="A12" t="s">
        <v>38</v>
      </c>
      <c r="B12" t="s">
        <v>25</v>
      </c>
      <c r="C12" t="s">
        <v>21</v>
      </c>
      <c r="D12" s="2">
        <v>46059</v>
      </c>
      <c r="E12" s="2">
        <v>46062</v>
      </c>
      <c r="F12">
        <v>42</v>
      </c>
      <c r="G12">
        <v>40</v>
      </c>
      <c r="H12" t="s">
        <v>39</v>
      </c>
      <c r="I12" t="s">
        <v>13</v>
      </c>
    </row>
    <row r="13" spans="1:9" x14ac:dyDescent="0.3">
      <c r="A13" t="s">
        <v>40</v>
      </c>
      <c r="B13" t="s">
        <v>41</v>
      </c>
      <c r="C13" t="s">
        <v>28</v>
      </c>
      <c r="D13" s="2">
        <v>46080</v>
      </c>
      <c r="E13" s="2">
        <v>46080</v>
      </c>
      <c r="F13">
        <v>32</v>
      </c>
      <c r="G13">
        <v>50</v>
      </c>
      <c r="H13" t="s">
        <v>22</v>
      </c>
      <c r="I13" t="s">
        <v>13</v>
      </c>
    </row>
    <row r="14" spans="1:9" x14ac:dyDescent="0.3">
      <c r="A14" t="s">
        <v>42</v>
      </c>
      <c r="B14" t="s">
        <v>41</v>
      </c>
      <c r="C14" t="s">
        <v>28</v>
      </c>
      <c r="D14" s="2">
        <v>46058</v>
      </c>
      <c r="E14" s="2">
        <v>46058</v>
      </c>
      <c r="F14">
        <v>57</v>
      </c>
      <c r="G14">
        <v>45</v>
      </c>
      <c r="H14" t="s">
        <v>22</v>
      </c>
      <c r="I14" t="s">
        <v>18</v>
      </c>
    </row>
    <row r="15" spans="1:9" x14ac:dyDescent="0.3">
      <c r="A15" t="s">
        <v>43</v>
      </c>
      <c r="B15" t="s">
        <v>33</v>
      </c>
      <c r="C15" t="s">
        <v>11</v>
      </c>
      <c r="D15" s="2">
        <v>46063</v>
      </c>
      <c r="E15" s="2">
        <v>46065</v>
      </c>
      <c r="F15">
        <v>57</v>
      </c>
      <c r="G15">
        <v>45</v>
      </c>
      <c r="H15" t="s">
        <v>31</v>
      </c>
      <c r="I15" t="s">
        <v>13</v>
      </c>
    </row>
    <row r="16" spans="1:9" x14ac:dyDescent="0.3">
      <c r="A16" t="s">
        <v>44</v>
      </c>
      <c r="B16" t="s">
        <v>45</v>
      </c>
      <c r="C16" t="s">
        <v>36</v>
      </c>
      <c r="D16" s="2">
        <v>46037</v>
      </c>
      <c r="E16" s="2">
        <v>46039</v>
      </c>
      <c r="F16">
        <v>43</v>
      </c>
      <c r="G16">
        <v>35</v>
      </c>
      <c r="H16" t="s">
        <v>29</v>
      </c>
      <c r="I16" t="s">
        <v>13</v>
      </c>
    </row>
    <row r="17" spans="1:9" x14ac:dyDescent="0.3">
      <c r="A17" t="s">
        <v>46</v>
      </c>
      <c r="B17" t="s">
        <v>33</v>
      </c>
      <c r="C17" t="s">
        <v>11</v>
      </c>
      <c r="D17" s="2">
        <v>46033</v>
      </c>
      <c r="E17" s="2">
        <v>46034</v>
      </c>
      <c r="F17">
        <v>26</v>
      </c>
      <c r="G17">
        <v>60</v>
      </c>
      <c r="H17" t="s">
        <v>12</v>
      </c>
      <c r="I17" t="s">
        <v>13</v>
      </c>
    </row>
    <row r="18" spans="1:9" x14ac:dyDescent="0.3">
      <c r="A18" t="s">
        <v>47</v>
      </c>
      <c r="B18" t="s">
        <v>48</v>
      </c>
      <c r="C18" t="s">
        <v>49</v>
      </c>
      <c r="D18" s="2">
        <v>46037</v>
      </c>
      <c r="E18" s="2">
        <v>46037</v>
      </c>
      <c r="F18">
        <v>55</v>
      </c>
      <c r="G18">
        <v>50</v>
      </c>
      <c r="H18" t="s">
        <v>12</v>
      </c>
      <c r="I18" t="s">
        <v>13</v>
      </c>
    </row>
    <row r="19" spans="1:9" x14ac:dyDescent="0.3">
      <c r="A19" t="s">
        <v>50</v>
      </c>
      <c r="B19" t="s">
        <v>10</v>
      </c>
      <c r="C19" t="s">
        <v>11</v>
      </c>
      <c r="D19" s="2">
        <v>46074</v>
      </c>
      <c r="E19" s="2">
        <v>46074</v>
      </c>
      <c r="F19">
        <v>44</v>
      </c>
      <c r="G19">
        <v>40</v>
      </c>
      <c r="H19" t="s">
        <v>29</v>
      </c>
      <c r="I19" t="s">
        <v>13</v>
      </c>
    </row>
    <row r="20" spans="1:9" x14ac:dyDescent="0.3">
      <c r="A20" t="s">
        <v>51</v>
      </c>
      <c r="B20" t="s">
        <v>45</v>
      </c>
      <c r="C20" t="s">
        <v>36</v>
      </c>
      <c r="D20" s="2">
        <v>46042</v>
      </c>
      <c r="E20" s="2">
        <v>46043</v>
      </c>
      <c r="F20">
        <v>32</v>
      </c>
      <c r="G20">
        <v>45</v>
      </c>
      <c r="H20" t="s">
        <v>31</v>
      </c>
      <c r="I20" t="s">
        <v>13</v>
      </c>
    </row>
    <row r="21" spans="1:9" x14ac:dyDescent="0.3">
      <c r="A21" t="s">
        <v>52</v>
      </c>
      <c r="B21" t="s">
        <v>20</v>
      </c>
      <c r="C21" t="s">
        <v>21</v>
      </c>
      <c r="D21" s="2">
        <v>46076</v>
      </c>
      <c r="E21" s="2">
        <v>46079</v>
      </c>
      <c r="F21">
        <v>25</v>
      </c>
      <c r="G21">
        <v>60</v>
      </c>
      <c r="H21" t="s">
        <v>17</v>
      </c>
      <c r="I21" t="s">
        <v>13</v>
      </c>
    </row>
    <row r="22" spans="1:9" x14ac:dyDescent="0.3">
      <c r="A22" t="s">
        <v>53</v>
      </c>
      <c r="B22" t="s">
        <v>54</v>
      </c>
      <c r="C22" t="s">
        <v>49</v>
      </c>
      <c r="D22" s="2">
        <v>46069</v>
      </c>
      <c r="E22" s="2">
        <v>46071</v>
      </c>
      <c r="F22">
        <v>24</v>
      </c>
      <c r="G22">
        <v>40</v>
      </c>
      <c r="H22" t="s">
        <v>12</v>
      </c>
      <c r="I22" t="s">
        <v>13</v>
      </c>
    </row>
    <row r="23" spans="1:9" x14ac:dyDescent="0.3">
      <c r="A23" t="s">
        <v>55</v>
      </c>
      <c r="B23" t="s">
        <v>20</v>
      </c>
      <c r="C23" t="s">
        <v>21</v>
      </c>
      <c r="D23" s="2">
        <v>46031</v>
      </c>
      <c r="E23" s="2">
        <v>46033</v>
      </c>
      <c r="F23">
        <v>31</v>
      </c>
      <c r="G23">
        <v>30</v>
      </c>
      <c r="H23" t="s">
        <v>22</v>
      </c>
      <c r="I23" t="s">
        <v>13</v>
      </c>
    </row>
    <row r="24" spans="1:9" x14ac:dyDescent="0.3">
      <c r="A24" t="s">
        <v>56</v>
      </c>
      <c r="B24" t="s">
        <v>41</v>
      </c>
      <c r="C24" t="s">
        <v>28</v>
      </c>
      <c r="D24" s="2">
        <v>46043</v>
      </c>
      <c r="E24" s="2">
        <v>46044</v>
      </c>
      <c r="F24">
        <v>55</v>
      </c>
      <c r="G24">
        <v>50</v>
      </c>
      <c r="H24" t="s">
        <v>39</v>
      </c>
      <c r="I24" t="s">
        <v>13</v>
      </c>
    </row>
    <row r="25" spans="1:9" x14ac:dyDescent="0.3">
      <c r="A25" t="s">
        <v>57</v>
      </c>
      <c r="B25" t="s">
        <v>33</v>
      </c>
      <c r="C25" t="s">
        <v>11</v>
      </c>
      <c r="D25" s="2">
        <v>46080</v>
      </c>
      <c r="E25" s="2">
        <v>46082</v>
      </c>
      <c r="F25">
        <v>31</v>
      </c>
      <c r="G25">
        <v>35</v>
      </c>
      <c r="H25" t="s">
        <v>29</v>
      </c>
      <c r="I25" t="s">
        <v>13</v>
      </c>
    </row>
    <row r="26" spans="1:9" x14ac:dyDescent="0.3">
      <c r="A26" t="s">
        <v>58</v>
      </c>
      <c r="B26" t="s">
        <v>25</v>
      </c>
      <c r="C26" t="s">
        <v>21</v>
      </c>
      <c r="D26" s="2">
        <v>46064</v>
      </c>
      <c r="E26" s="2">
        <v>46067</v>
      </c>
      <c r="F26">
        <v>41</v>
      </c>
      <c r="G26">
        <v>30</v>
      </c>
      <c r="H26" t="s">
        <v>29</v>
      </c>
      <c r="I26" t="s">
        <v>18</v>
      </c>
    </row>
    <row r="27" spans="1:9" x14ac:dyDescent="0.3">
      <c r="A27" t="s">
        <v>59</v>
      </c>
      <c r="B27" t="s">
        <v>54</v>
      </c>
      <c r="C27" t="s">
        <v>49</v>
      </c>
      <c r="D27" s="2">
        <v>46035</v>
      </c>
      <c r="E27" s="2">
        <v>46035</v>
      </c>
      <c r="F27">
        <v>46</v>
      </c>
      <c r="G27">
        <v>50</v>
      </c>
      <c r="H27" t="s">
        <v>12</v>
      </c>
      <c r="I27" t="s">
        <v>13</v>
      </c>
    </row>
    <row r="28" spans="1:9" x14ac:dyDescent="0.3">
      <c r="A28" t="s">
        <v>60</v>
      </c>
      <c r="B28" t="s">
        <v>54</v>
      </c>
      <c r="C28" t="s">
        <v>49</v>
      </c>
      <c r="D28" s="2">
        <v>46064</v>
      </c>
      <c r="E28" s="2">
        <v>46066</v>
      </c>
      <c r="F28">
        <v>37</v>
      </c>
      <c r="G28">
        <v>60</v>
      </c>
      <c r="H28" t="s">
        <v>29</v>
      </c>
      <c r="I28" t="s">
        <v>13</v>
      </c>
    </row>
    <row r="29" spans="1:9" x14ac:dyDescent="0.3">
      <c r="A29" t="s">
        <v>61</v>
      </c>
      <c r="B29" t="s">
        <v>54</v>
      </c>
      <c r="C29" t="s">
        <v>49</v>
      </c>
      <c r="D29" s="2">
        <v>46070</v>
      </c>
      <c r="E29" s="2">
        <v>46073</v>
      </c>
      <c r="F29">
        <v>30</v>
      </c>
      <c r="G29">
        <v>30</v>
      </c>
      <c r="H29" t="s">
        <v>12</v>
      </c>
      <c r="I29" t="s">
        <v>13</v>
      </c>
    </row>
    <row r="30" spans="1:9" x14ac:dyDescent="0.3">
      <c r="A30" t="s">
        <v>62</v>
      </c>
      <c r="B30" t="s">
        <v>20</v>
      </c>
      <c r="C30" t="s">
        <v>21</v>
      </c>
      <c r="D30" s="2">
        <v>46033</v>
      </c>
      <c r="E30" s="2">
        <v>46034</v>
      </c>
      <c r="F30">
        <v>23</v>
      </c>
      <c r="G30">
        <v>50</v>
      </c>
      <c r="H30" t="s">
        <v>39</v>
      </c>
      <c r="I30" t="s">
        <v>13</v>
      </c>
    </row>
    <row r="31" spans="1:9" x14ac:dyDescent="0.3">
      <c r="A31" t="s">
        <v>63</v>
      </c>
      <c r="B31" t="s">
        <v>27</v>
      </c>
      <c r="C31" t="s">
        <v>28</v>
      </c>
      <c r="D31" s="2">
        <v>46082</v>
      </c>
      <c r="E31" s="2">
        <v>46082</v>
      </c>
      <c r="F31">
        <v>40</v>
      </c>
      <c r="G31">
        <v>30</v>
      </c>
      <c r="H31" t="s">
        <v>17</v>
      </c>
      <c r="I31" t="s">
        <v>18</v>
      </c>
    </row>
    <row r="32" spans="1:9" x14ac:dyDescent="0.3">
      <c r="A32" t="s">
        <v>64</v>
      </c>
      <c r="B32" t="s">
        <v>48</v>
      </c>
      <c r="C32" t="s">
        <v>49</v>
      </c>
      <c r="D32" s="2">
        <v>46052</v>
      </c>
      <c r="E32" s="2">
        <v>46055</v>
      </c>
      <c r="F32">
        <v>36</v>
      </c>
      <c r="G32">
        <v>45</v>
      </c>
      <c r="H32" t="s">
        <v>12</v>
      </c>
      <c r="I32" t="s">
        <v>13</v>
      </c>
    </row>
    <row r="33" spans="1:9" x14ac:dyDescent="0.3">
      <c r="A33" t="s">
        <v>65</v>
      </c>
      <c r="B33" t="s">
        <v>10</v>
      </c>
      <c r="C33" t="s">
        <v>11</v>
      </c>
      <c r="D33" s="2">
        <v>46081</v>
      </c>
      <c r="E33" s="2">
        <v>46084</v>
      </c>
      <c r="F33">
        <v>34</v>
      </c>
      <c r="G33">
        <v>50</v>
      </c>
      <c r="H33" t="s">
        <v>22</v>
      </c>
      <c r="I33" t="s">
        <v>18</v>
      </c>
    </row>
    <row r="34" spans="1:9" x14ac:dyDescent="0.3">
      <c r="A34" t="s">
        <v>66</v>
      </c>
      <c r="B34" t="s">
        <v>41</v>
      </c>
      <c r="C34" t="s">
        <v>28</v>
      </c>
      <c r="D34" s="2">
        <v>46065</v>
      </c>
      <c r="E34" s="2">
        <v>46065</v>
      </c>
      <c r="F34">
        <v>22</v>
      </c>
      <c r="G34">
        <v>40</v>
      </c>
      <c r="H34" t="s">
        <v>39</v>
      </c>
      <c r="I34" t="s">
        <v>13</v>
      </c>
    </row>
    <row r="35" spans="1:9" x14ac:dyDescent="0.3">
      <c r="A35" t="s">
        <v>67</v>
      </c>
      <c r="B35" t="s">
        <v>20</v>
      </c>
      <c r="C35" t="s">
        <v>21</v>
      </c>
      <c r="D35" s="2">
        <v>46075</v>
      </c>
      <c r="E35" s="2">
        <v>46076</v>
      </c>
      <c r="F35">
        <v>36</v>
      </c>
      <c r="G35">
        <v>35</v>
      </c>
      <c r="H35" t="s">
        <v>22</v>
      </c>
      <c r="I35" t="s">
        <v>18</v>
      </c>
    </row>
    <row r="36" spans="1:9" x14ac:dyDescent="0.3">
      <c r="A36" t="s">
        <v>68</v>
      </c>
      <c r="B36" t="s">
        <v>48</v>
      </c>
      <c r="C36" t="s">
        <v>49</v>
      </c>
      <c r="D36" s="2">
        <v>46074</v>
      </c>
      <c r="E36" s="2">
        <v>46074</v>
      </c>
      <c r="F36">
        <v>37</v>
      </c>
      <c r="G36">
        <v>40</v>
      </c>
      <c r="H36" t="s">
        <v>12</v>
      </c>
      <c r="I36" t="s">
        <v>13</v>
      </c>
    </row>
    <row r="37" spans="1:9" x14ac:dyDescent="0.3">
      <c r="A37" t="s">
        <v>69</v>
      </c>
      <c r="B37" t="s">
        <v>35</v>
      </c>
      <c r="C37" t="s">
        <v>36</v>
      </c>
      <c r="D37" s="2">
        <v>46045</v>
      </c>
      <c r="E37" s="2">
        <v>46048</v>
      </c>
      <c r="F37">
        <v>58</v>
      </c>
      <c r="G37">
        <v>25</v>
      </c>
      <c r="H37" t="s">
        <v>29</v>
      </c>
      <c r="I37" t="s">
        <v>18</v>
      </c>
    </row>
    <row r="38" spans="1:9" x14ac:dyDescent="0.3">
      <c r="A38" t="s">
        <v>70</v>
      </c>
      <c r="B38" t="s">
        <v>41</v>
      </c>
      <c r="C38" t="s">
        <v>28</v>
      </c>
      <c r="D38" s="2">
        <v>46059</v>
      </c>
      <c r="E38" s="2">
        <v>46061</v>
      </c>
      <c r="F38">
        <v>55</v>
      </c>
      <c r="G38">
        <v>35</v>
      </c>
      <c r="H38" t="s">
        <v>17</v>
      </c>
      <c r="I38" t="s">
        <v>18</v>
      </c>
    </row>
    <row r="39" spans="1:9" x14ac:dyDescent="0.3">
      <c r="A39" t="s">
        <v>71</v>
      </c>
      <c r="B39" t="s">
        <v>15</v>
      </c>
      <c r="C39" t="s">
        <v>16</v>
      </c>
      <c r="D39" s="2">
        <v>46075</v>
      </c>
      <c r="E39" s="2">
        <v>46076</v>
      </c>
      <c r="F39">
        <v>26</v>
      </c>
      <c r="G39">
        <v>45</v>
      </c>
      <c r="H39" t="s">
        <v>17</v>
      </c>
      <c r="I39" t="s">
        <v>13</v>
      </c>
    </row>
    <row r="40" spans="1:9" x14ac:dyDescent="0.3">
      <c r="A40" t="s">
        <v>72</v>
      </c>
      <c r="B40" t="s">
        <v>48</v>
      </c>
      <c r="C40" t="s">
        <v>49</v>
      </c>
      <c r="D40" s="2">
        <v>46031</v>
      </c>
      <c r="E40" s="2">
        <v>46033</v>
      </c>
      <c r="F40">
        <v>48</v>
      </c>
      <c r="G40">
        <v>25</v>
      </c>
      <c r="H40" t="s">
        <v>31</v>
      </c>
      <c r="I40" t="s">
        <v>13</v>
      </c>
    </row>
    <row r="41" spans="1:9" x14ac:dyDescent="0.3">
      <c r="A41" t="s">
        <v>73</v>
      </c>
      <c r="B41" t="s">
        <v>45</v>
      </c>
      <c r="C41" t="s">
        <v>36</v>
      </c>
      <c r="D41" s="2">
        <v>46079</v>
      </c>
      <c r="E41" s="2">
        <v>46082</v>
      </c>
      <c r="F41">
        <v>54</v>
      </c>
      <c r="G41">
        <v>45</v>
      </c>
      <c r="H41" t="s">
        <v>31</v>
      </c>
      <c r="I41" t="s">
        <v>13</v>
      </c>
    </row>
    <row r="42" spans="1:9" x14ac:dyDescent="0.3">
      <c r="A42" t="s">
        <v>74</v>
      </c>
      <c r="B42" t="s">
        <v>25</v>
      </c>
      <c r="C42" t="s">
        <v>21</v>
      </c>
      <c r="D42" s="2">
        <v>46060</v>
      </c>
      <c r="E42" s="2">
        <v>46063</v>
      </c>
      <c r="F42">
        <v>47</v>
      </c>
      <c r="G42">
        <v>25</v>
      </c>
      <c r="H42" t="s">
        <v>12</v>
      </c>
      <c r="I42" t="s">
        <v>13</v>
      </c>
    </row>
    <row r="43" spans="1:9" x14ac:dyDescent="0.3">
      <c r="A43" t="s">
        <v>75</v>
      </c>
      <c r="B43" t="s">
        <v>41</v>
      </c>
      <c r="C43" t="s">
        <v>28</v>
      </c>
      <c r="D43" s="2">
        <v>46069</v>
      </c>
      <c r="E43" s="2">
        <v>46072</v>
      </c>
      <c r="F43">
        <v>24</v>
      </c>
      <c r="G43">
        <v>30</v>
      </c>
      <c r="H43" t="s">
        <v>17</v>
      </c>
      <c r="I43" t="s">
        <v>18</v>
      </c>
    </row>
    <row r="44" spans="1:9" x14ac:dyDescent="0.3">
      <c r="A44" t="s">
        <v>76</v>
      </c>
      <c r="B44" t="s">
        <v>20</v>
      </c>
      <c r="C44" t="s">
        <v>21</v>
      </c>
      <c r="D44" s="2">
        <v>46073</v>
      </c>
      <c r="E44" s="2">
        <v>46076</v>
      </c>
      <c r="F44">
        <v>51</v>
      </c>
      <c r="G44">
        <v>60</v>
      </c>
      <c r="H44" t="s">
        <v>12</v>
      </c>
      <c r="I44" t="s">
        <v>13</v>
      </c>
    </row>
    <row r="45" spans="1:9" x14ac:dyDescent="0.3">
      <c r="A45" t="s">
        <v>77</v>
      </c>
      <c r="B45" t="s">
        <v>20</v>
      </c>
      <c r="C45" t="s">
        <v>21</v>
      </c>
      <c r="D45" s="2">
        <v>46047</v>
      </c>
      <c r="E45" s="2">
        <v>46050</v>
      </c>
      <c r="F45">
        <v>36</v>
      </c>
      <c r="G45">
        <v>50</v>
      </c>
      <c r="H45" t="s">
        <v>22</v>
      </c>
      <c r="I45" t="s">
        <v>13</v>
      </c>
    </row>
    <row r="46" spans="1:9" x14ac:dyDescent="0.3">
      <c r="A46" t="s">
        <v>78</v>
      </c>
      <c r="B46" t="s">
        <v>41</v>
      </c>
      <c r="C46" t="s">
        <v>28</v>
      </c>
      <c r="D46" s="2">
        <v>46057</v>
      </c>
      <c r="E46" s="2">
        <v>46058</v>
      </c>
      <c r="F46">
        <v>53</v>
      </c>
      <c r="G46">
        <v>35</v>
      </c>
      <c r="H46" t="s">
        <v>22</v>
      </c>
      <c r="I46" t="s">
        <v>18</v>
      </c>
    </row>
    <row r="47" spans="1:9" x14ac:dyDescent="0.3">
      <c r="A47" t="s">
        <v>79</v>
      </c>
      <c r="B47" t="s">
        <v>33</v>
      </c>
      <c r="C47" t="s">
        <v>11</v>
      </c>
      <c r="D47" s="2">
        <v>46076</v>
      </c>
      <c r="E47" s="2">
        <v>46079</v>
      </c>
      <c r="F47">
        <v>38</v>
      </c>
      <c r="G47">
        <v>30</v>
      </c>
      <c r="H47" t="s">
        <v>39</v>
      </c>
      <c r="I47" t="s">
        <v>13</v>
      </c>
    </row>
    <row r="48" spans="1:9" x14ac:dyDescent="0.3">
      <c r="A48" t="s">
        <v>80</v>
      </c>
      <c r="B48" t="s">
        <v>20</v>
      </c>
      <c r="C48" t="s">
        <v>21</v>
      </c>
      <c r="D48" s="2">
        <v>46046</v>
      </c>
      <c r="E48" s="2">
        <v>46049</v>
      </c>
      <c r="F48">
        <v>55</v>
      </c>
      <c r="G48">
        <v>50</v>
      </c>
      <c r="H48" t="s">
        <v>31</v>
      </c>
      <c r="I48" t="s">
        <v>13</v>
      </c>
    </row>
    <row r="49" spans="1:9" x14ac:dyDescent="0.3">
      <c r="A49" t="s">
        <v>81</v>
      </c>
      <c r="B49" t="s">
        <v>48</v>
      </c>
      <c r="C49" t="s">
        <v>49</v>
      </c>
      <c r="D49" s="2">
        <v>46039</v>
      </c>
      <c r="E49" s="2">
        <v>46041</v>
      </c>
      <c r="F49">
        <v>47</v>
      </c>
      <c r="G49">
        <v>50</v>
      </c>
      <c r="H49" t="s">
        <v>12</v>
      </c>
      <c r="I49" t="s">
        <v>13</v>
      </c>
    </row>
    <row r="50" spans="1:9" x14ac:dyDescent="0.3">
      <c r="A50" t="s">
        <v>82</v>
      </c>
      <c r="B50" t="s">
        <v>15</v>
      </c>
      <c r="C50" t="s">
        <v>16</v>
      </c>
      <c r="D50" s="2">
        <v>46038</v>
      </c>
      <c r="E50" s="2">
        <v>46038</v>
      </c>
      <c r="F50">
        <v>55</v>
      </c>
      <c r="G50">
        <v>35</v>
      </c>
      <c r="H50" t="s">
        <v>29</v>
      </c>
      <c r="I50" t="s">
        <v>13</v>
      </c>
    </row>
    <row r="51" spans="1:9" x14ac:dyDescent="0.3">
      <c r="A51" t="s">
        <v>83</v>
      </c>
      <c r="B51" t="s">
        <v>35</v>
      </c>
      <c r="C51" t="s">
        <v>36</v>
      </c>
      <c r="D51" s="2">
        <v>46074</v>
      </c>
      <c r="E51" s="2">
        <v>46077</v>
      </c>
      <c r="F51">
        <v>28</v>
      </c>
      <c r="G51">
        <v>30</v>
      </c>
      <c r="H51" t="s">
        <v>22</v>
      </c>
      <c r="I51" t="s">
        <v>13</v>
      </c>
    </row>
    <row r="52" spans="1:9" x14ac:dyDescent="0.3">
      <c r="A52" t="s">
        <v>84</v>
      </c>
      <c r="B52" t="s">
        <v>33</v>
      </c>
      <c r="C52" t="s">
        <v>11</v>
      </c>
      <c r="D52" s="2">
        <v>46070</v>
      </c>
      <c r="E52" s="2">
        <v>46072</v>
      </c>
      <c r="F52">
        <v>45</v>
      </c>
      <c r="G52">
        <v>50</v>
      </c>
      <c r="H52" t="s">
        <v>29</v>
      </c>
      <c r="I52" t="s">
        <v>13</v>
      </c>
    </row>
    <row r="53" spans="1:9" x14ac:dyDescent="0.3">
      <c r="A53" t="s">
        <v>85</v>
      </c>
      <c r="B53" t="s">
        <v>54</v>
      </c>
      <c r="C53" t="s">
        <v>49</v>
      </c>
      <c r="D53" s="2">
        <v>46032</v>
      </c>
      <c r="E53" s="2">
        <v>46032</v>
      </c>
      <c r="F53">
        <v>42</v>
      </c>
      <c r="G53">
        <v>45</v>
      </c>
      <c r="H53" t="s">
        <v>17</v>
      </c>
      <c r="I53" t="s">
        <v>13</v>
      </c>
    </row>
    <row r="54" spans="1:9" x14ac:dyDescent="0.3">
      <c r="A54" t="s">
        <v>86</v>
      </c>
      <c r="B54" t="s">
        <v>45</v>
      </c>
      <c r="C54" t="s">
        <v>36</v>
      </c>
      <c r="D54" s="2">
        <v>46059</v>
      </c>
      <c r="E54" s="2">
        <v>46060</v>
      </c>
      <c r="F54">
        <v>37</v>
      </c>
      <c r="G54">
        <v>45</v>
      </c>
      <c r="H54" t="s">
        <v>22</v>
      </c>
      <c r="I54" t="s">
        <v>13</v>
      </c>
    </row>
    <row r="55" spans="1:9" x14ac:dyDescent="0.3">
      <c r="A55" t="s">
        <v>87</v>
      </c>
      <c r="B55" t="s">
        <v>35</v>
      </c>
      <c r="C55" t="s">
        <v>36</v>
      </c>
      <c r="D55" s="2">
        <v>46051</v>
      </c>
      <c r="E55" s="2">
        <v>46052</v>
      </c>
      <c r="F55">
        <v>47</v>
      </c>
      <c r="G55">
        <v>40</v>
      </c>
      <c r="H55" t="s">
        <v>39</v>
      </c>
      <c r="I55" t="s">
        <v>13</v>
      </c>
    </row>
    <row r="56" spans="1:9" x14ac:dyDescent="0.3">
      <c r="A56" t="s">
        <v>88</v>
      </c>
      <c r="B56" t="s">
        <v>25</v>
      </c>
      <c r="C56" t="s">
        <v>21</v>
      </c>
      <c r="D56" s="2">
        <v>46066</v>
      </c>
      <c r="E56" s="2">
        <v>46068</v>
      </c>
      <c r="F56">
        <v>33</v>
      </c>
      <c r="G56">
        <v>50</v>
      </c>
      <c r="H56" t="s">
        <v>39</v>
      </c>
      <c r="I56" t="s">
        <v>18</v>
      </c>
    </row>
    <row r="57" spans="1:9" x14ac:dyDescent="0.3">
      <c r="A57" t="s">
        <v>89</v>
      </c>
      <c r="B57" t="s">
        <v>54</v>
      </c>
      <c r="C57" t="s">
        <v>49</v>
      </c>
      <c r="D57" s="2">
        <v>46033</v>
      </c>
      <c r="E57" s="2">
        <v>46034</v>
      </c>
      <c r="F57">
        <v>35</v>
      </c>
      <c r="G57">
        <v>25</v>
      </c>
      <c r="H57" t="s">
        <v>17</v>
      </c>
      <c r="I57" t="s">
        <v>13</v>
      </c>
    </row>
    <row r="58" spans="1:9" x14ac:dyDescent="0.3">
      <c r="A58" t="s">
        <v>90</v>
      </c>
      <c r="B58" t="s">
        <v>41</v>
      </c>
      <c r="C58" t="s">
        <v>28</v>
      </c>
      <c r="D58" s="2">
        <v>46031</v>
      </c>
      <c r="E58" s="2">
        <v>46031</v>
      </c>
      <c r="F58">
        <v>47</v>
      </c>
      <c r="G58">
        <v>45</v>
      </c>
      <c r="H58" t="s">
        <v>39</v>
      </c>
      <c r="I58" t="s">
        <v>13</v>
      </c>
    </row>
    <row r="59" spans="1:9" x14ac:dyDescent="0.3">
      <c r="A59" t="s">
        <v>91</v>
      </c>
      <c r="B59" t="s">
        <v>33</v>
      </c>
      <c r="C59" t="s">
        <v>11</v>
      </c>
      <c r="D59" s="2">
        <v>46027</v>
      </c>
      <c r="E59" s="2">
        <v>46028</v>
      </c>
      <c r="F59">
        <v>28</v>
      </c>
      <c r="G59">
        <v>35</v>
      </c>
      <c r="H59" t="s">
        <v>12</v>
      </c>
      <c r="I59" t="s">
        <v>13</v>
      </c>
    </row>
    <row r="60" spans="1:9" x14ac:dyDescent="0.3">
      <c r="A60" t="s">
        <v>92</v>
      </c>
      <c r="B60" t="s">
        <v>48</v>
      </c>
      <c r="C60" t="s">
        <v>49</v>
      </c>
      <c r="D60" s="2">
        <v>46027</v>
      </c>
      <c r="E60" s="2">
        <v>46029</v>
      </c>
      <c r="F60">
        <v>32</v>
      </c>
      <c r="G60">
        <v>30</v>
      </c>
      <c r="H60" t="s">
        <v>29</v>
      </c>
      <c r="I60" t="s">
        <v>13</v>
      </c>
    </row>
    <row r="61" spans="1:9" x14ac:dyDescent="0.3">
      <c r="A61" t="s">
        <v>93</v>
      </c>
      <c r="B61" t="s">
        <v>15</v>
      </c>
      <c r="C61" t="s">
        <v>16</v>
      </c>
      <c r="D61" s="2">
        <v>46080</v>
      </c>
      <c r="E61" s="2">
        <v>46080</v>
      </c>
      <c r="F61">
        <v>41</v>
      </c>
      <c r="G61">
        <v>30</v>
      </c>
      <c r="H61" t="s">
        <v>39</v>
      </c>
      <c r="I61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>
      <pane ySplit="1" topLeftCell="A2" activePane="bottomLeft" state="frozen"/>
      <selection pane="bottomLeft" activeCell="M10" sqref="M10"/>
    </sheetView>
  </sheetViews>
  <sheetFormatPr defaultRowHeight="14.4" x14ac:dyDescent="0.3"/>
  <cols>
    <col min="1" max="1" width="12" customWidth="1"/>
    <col min="2" max="5" width="14" customWidth="1"/>
    <col min="6" max="6" width="20" customWidth="1"/>
    <col min="7" max="7" width="16" customWidth="1"/>
    <col min="8" max="8" width="18" customWidth="1"/>
    <col min="9" max="9" width="14" customWidth="1"/>
    <col min="10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94</v>
      </c>
    </row>
    <row r="2" spans="1:10" x14ac:dyDescent="0.3">
      <c r="A2" t="s">
        <v>9</v>
      </c>
      <c r="B2" t="s">
        <v>10</v>
      </c>
      <c r="C2" t="s">
        <v>11</v>
      </c>
      <c r="D2" s="2">
        <v>46053</v>
      </c>
      <c r="E2" s="2">
        <v>46056</v>
      </c>
      <c r="F2">
        <v>40</v>
      </c>
      <c r="G2">
        <v>40</v>
      </c>
      <c r="H2" t="s">
        <v>12</v>
      </c>
      <c r="I2" t="s">
        <v>13</v>
      </c>
      <c r="J2" t="str">
        <f>_xlfn.XLOOKUP(B2,'Restaurant Details'!$A$2:$A$13,'Restaurant Details'!$B$2:$B$13,"Not Found")</f>
        <v>Pizza Point</v>
      </c>
    </row>
    <row r="3" spans="1:10" x14ac:dyDescent="0.3">
      <c r="A3" t="s">
        <v>14</v>
      </c>
      <c r="B3" t="s">
        <v>15</v>
      </c>
      <c r="C3" t="s">
        <v>16</v>
      </c>
      <c r="D3" s="2">
        <v>46038</v>
      </c>
      <c r="E3" s="2">
        <v>46039</v>
      </c>
      <c r="F3">
        <v>22</v>
      </c>
      <c r="G3">
        <v>25</v>
      </c>
      <c r="H3" t="s">
        <v>17</v>
      </c>
      <c r="I3" t="s">
        <v>18</v>
      </c>
      <c r="J3" t="str">
        <f>_xlfn.XLOOKUP(B3,'Restaurant Details'!$A$2:$A$13,'Restaurant Details'!$B$2:$B$13,"Not Found")</f>
        <v>The Dosa Cafe</v>
      </c>
    </row>
    <row r="4" spans="1:10" x14ac:dyDescent="0.3">
      <c r="A4" t="s">
        <v>19</v>
      </c>
      <c r="B4" t="s">
        <v>20</v>
      </c>
      <c r="C4" t="s">
        <v>21</v>
      </c>
      <c r="D4" s="2">
        <v>46031</v>
      </c>
      <c r="E4" s="2">
        <v>46032</v>
      </c>
      <c r="F4">
        <v>36</v>
      </c>
      <c r="G4">
        <v>30</v>
      </c>
      <c r="H4" t="s">
        <v>22</v>
      </c>
      <c r="I4" t="s">
        <v>13</v>
      </c>
      <c r="J4" t="str">
        <f>_xlfn.XLOOKUP(B4,'Restaurant Details'!$A$2:$A$13,'Restaurant Details'!$B$2:$B$13,"Not Found")</f>
        <v>Burger Street</v>
      </c>
    </row>
    <row r="5" spans="1:10" x14ac:dyDescent="0.3">
      <c r="A5" t="s">
        <v>23</v>
      </c>
      <c r="B5" t="s">
        <v>20</v>
      </c>
      <c r="C5" t="s">
        <v>21</v>
      </c>
      <c r="D5" s="2">
        <v>46074</v>
      </c>
      <c r="E5" s="2">
        <v>46077</v>
      </c>
      <c r="F5">
        <v>50</v>
      </c>
      <c r="G5">
        <v>25</v>
      </c>
      <c r="H5" t="s">
        <v>17</v>
      </c>
      <c r="I5" t="s">
        <v>18</v>
      </c>
      <c r="J5" t="str">
        <f>_xlfn.XLOOKUP(B5,'Restaurant Details'!$A$2:$A$13,'Restaurant Details'!$B$2:$B$13,"Not Found")</f>
        <v>Burger Street</v>
      </c>
    </row>
    <row r="6" spans="1:10" x14ac:dyDescent="0.3">
      <c r="A6" t="s">
        <v>24</v>
      </c>
      <c r="B6" t="s">
        <v>25</v>
      </c>
      <c r="C6" t="s">
        <v>21</v>
      </c>
      <c r="D6" s="2">
        <v>46071</v>
      </c>
      <c r="E6" s="2">
        <v>46071</v>
      </c>
      <c r="F6">
        <v>45</v>
      </c>
      <c r="G6">
        <v>25</v>
      </c>
      <c r="H6" t="s">
        <v>12</v>
      </c>
      <c r="I6" t="s">
        <v>13</v>
      </c>
      <c r="J6" t="str">
        <f>_xlfn.XLOOKUP(B6,'Restaurant Details'!$A$2:$A$13,'Restaurant Details'!$B$2:$B$13,"Not Found")</f>
        <v>Curry Culture</v>
      </c>
    </row>
    <row r="7" spans="1:10" x14ac:dyDescent="0.3">
      <c r="A7" t="s">
        <v>26</v>
      </c>
      <c r="B7" t="s">
        <v>27</v>
      </c>
      <c r="C7" t="s">
        <v>28</v>
      </c>
      <c r="D7" s="2">
        <v>46078</v>
      </c>
      <c r="E7" s="2">
        <v>46078</v>
      </c>
      <c r="F7">
        <v>51</v>
      </c>
      <c r="G7">
        <v>30</v>
      </c>
      <c r="H7" t="s">
        <v>29</v>
      </c>
      <c r="I7" t="s">
        <v>13</v>
      </c>
      <c r="J7" t="str">
        <f>_xlfn.XLOOKUP(B7,'Restaurant Details'!$A$2:$A$13,'Restaurant Details'!$B$2:$B$13,"Not Found")</f>
        <v>Urban Tadka</v>
      </c>
    </row>
    <row r="8" spans="1:10" x14ac:dyDescent="0.3">
      <c r="A8" t="s">
        <v>30</v>
      </c>
      <c r="B8" t="s">
        <v>20</v>
      </c>
      <c r="C8" t="s">
        <v>21</v>
      </c>
      <c r="D8" s="2">
        <v>46058</v>
      </c>
      <c r="E8" s="2">
        <v>46059</v>
      </c>
      <c r="F8">
        <v>33</v>
      </c>
      <c r="G8">
        <v>50</v>
      </c>
      <c r="H8" t="s">
        <v>31</v>
      </c>
      <c r="I8" t="s">
        <v>13</v>
      </c>
      <c r="J8" t="str">
        <f>_xlfn.XLOOKUP(B8,'Restaurant Details'!$A$2:$A$13,'Restaurant Details'!$B$2:$B$13,"Not Found")</f>
        <v>Burger Street</v>
      </c>
    </row>
    <row r="9" spans="1:10" x14ac:dyDescent="0.3">
      <c r="A9" t="s">
        <v>32</v>
      </c>
      <c r="B9" t="s">
        <v>33</v>
      </c>
      <c r="C9" t="s">
        <v>11</v>
      </c>
      <c r="D9" s="2">
        <v>46031</v>
      </c>
      <c r="E9" s="2">
        <v>46032</v>
      </c>
      <c r="F9">
        <v>35</v>
      </c>
      <c r="G9">
        <v>50</v>
      </c>
      <c r="H9" t="s">
        <v>22</v>
      </c>
      <c r="I9" t="s">
        <v>18</v>
      </c>
      <c r="J9" t="str">
        <f>_xlfn.XLOOKUP(B9,'Restaurant Details'!$A$2:$A$13,'Restaurant Details'!$B$2:$B$13,"Not Found")</f>
        <v>Biryani House</v>
      </c>
    </row>
    <row r="10" spans="1:10" x14ac:dyDescent="0.3">
      <c r="A10" t="s">
        <v>34</v>
      </c>
      <c r="B10" t="s">
        <v>35</v>
      </c>
      <c r="C10" t="s">
        <v>36</v>
      </c>
      <c r="D10" s="2">
        <v>46031</v>
      </c>
      <c r="E10" s="2">
        <v>46031</v>
      </c>
      <c r="F10">
        <v>57</v>
      </c>
      <c r="G10">
        <v>40</v>
      </c>
      <c r="H10" t="s">
        <v>29</v>
      </c>
      <c r="I10" t="s">
        <v>13</v>
      </c>
      <c r="J10" t="str">
        <f>_xlfn.XLOOKUP(B10,'Restaurant Details'!$A$2:$A$13,'Restaurant Details'!$B$2:$B$13,"Not Found")</f>
        <v>Chaat Corner</v>
      </c>
    </row>
    <row r="11" spans="1:10" x14ac:dyDescent="0.3">
      <c r="A11" t="s">
        <v>37</v>
      </c>
      <c r="B11" t="s">
        <v>33</v>
      </c>
      <c r="C11" t="s">
        <v>11</v>
      </c>
      <c r="D11" s="2">
        <v>46048</v>
      </c>
      <c r="E11" s="2">
        <v>46049</v>
      </c>
      <c r="F11">
        <v>56</v>
      </c>
      <c r="G11">
        <v>40</v>
      </c>
      <c r="H11" t="s">
        <v>17</v>
      </c>
      <c r="I11" t="s">
        <v>13</v>
      </c>
      <c r="J11" t="str">
        <f>_xlfn.XLOOKUP(B11,'Restaurant Details'!$A$2:$A$13,'Restaurant Details'!$B$2:$B$13,"Not Found")</f>
        <v>Biryani House</v>
      </c>
    </row>
    <row r="12" spans="1:10" x14ac:dyDescent="0.3">
      <c r="A12" t="s">
        <v>38</v>
      </c>
      <c r="B12" t="s">
        <v>25</v>
      </c>
      <c r="C12" t="s">
        <v>21</v>
      </c>
      <c r="D12" s="2">
        <v>46059</v>
      </c>
      <c r="E12" s="2">
        <v>46062</v>
      </c>
      <c r="F12">
        <v>42</v>
      </c>
      <c r="G12">
        <v>40</v>
      </c>
      <c r="H12" t="s">
        <v>39</v>
      </c>
      <c r="I12" t="s">
        <v>13</v>
      </c>
      <c r="J12" t="str">
        <f>_xlfn.XLOOKUP(B12,'Restaurant Details'!$A$2:$A$13,'Restaurant Details'!$B$2:$B$13,"Not Found")</f>
        <v>Curry Culture</v>
      </c>
    </row>
    <row r="13" spans="1:10" x14ac:dyDescent="0.3">
      <c r="A13" t="s">
        <v>40</v>
      </c>
      <c r="B13" t="s">
        <v>41</v>
      </c>
      <c r="C13" t="s">
        <v>28</v>
      </c>
      <c r="D13" s="2">
        <v>46080</v>
      </c>
      <c r="E13" s="2">
        <v>46080</v>
      </c>
      <c r="F13">
        <v>32</v>
      </c>
      <c r="G13">
        <v>50</v>
      </c>
      <c r="H13" t="s">
        <v>22</v>
      </c>
      <c r="I13" t="s">
        <v>13</v>
      </c>
      <c r="J13" t="str">
        <f>_xlfn.XLOOKUP(B13,'Restaurant Details'!$A$2:$A$13,'Restaurant Details'!$B$2:$B$13,"Not Found")</f>
        <v>Spice Hub</v>
      </c>
    </row>
    <row r="14" spans="1:10" x14ac:dyDescent="0.3">
      <c r="A14" t="s">
        <v>42</v>
      </c>
      <c r="B14" t="s">
        <v>41</v>
      </c>
      <c r="C14" t="s">
        <v>28</v>
      </c>
      <c r="D14" s="2">
        <v>46058</v>
      </c>
      <c r="E14" s="2">
        <v>46058</v>
      </c>
      <c r="F14">
        <v>57</v>
      </c>
      <c r="G14">
        <v>45</v>
      </c>
      <c r="H14" t="s">
        <v>22</v>
      </c>
      <c r="I14" t="s">
        <v>18</v>
      </c>
      <c r="J14" t="str">
        <f>_xlfn.XLOOKUP(B14,'Restaurant Details'!$A$2:$A$13,'Restaurant Details'!$B$2:$B$13,"Not Found")</f>
        <v>Spice Hub</v>
      </c>
    </row>
    <row r="15" spans="1:10" x14ac:dyDescent="0.3">
      <c r="A15" t="s">
        <v>43</v>
      </c>
      <c r="B15" t="s">
        <v>33</v>
      </c>
      <c r="C15" t="s">
        <v>11</v>
      </c>
      <c r="D15" s="2">
        <v>46063</v>
      </c>
      <c r="E15" s="2">
        <v>46065</v>
      </c>
      <c r="F15">
        <v>57</v>
      </c>
      <c r="G15">
        <v>45</v>
      </c>
      <c r="H15" t="s">
        <v>31</v>
      </c>
      <c r="I15" t="s">
        <v>13</v>
      </c>
      <c r="J15" t="str">
        <f>_xlfn.XLOOKUP(B15,'Restaurant Details'!$A$2:$A$13,'Restaurant Details'!$B$2:$B$13,"Not Found")</f>
        <v>Biryani House</v>
      </c>
    </row>
    <row r="16" spans="1:10" x14ac:dyDescent="0.3">
      <c r="A16" t="s">
        <v>44</v>
      </c>
      <c r="B16" t="s">
        <v>45</v>
      </c>
      <c r="C16" t="s">
        <v>36</v>
      </c>
      <c r="D16" s="2">
        <v>46037</v>
      </c>
      <c r="E16" s="2">
        <v>46039</v>
      </c>
      <c r="F16">
        <v>43</v>
      </c>
      <c r="G16">
        <v>35</v>
      </c>
      <c r="H16" t="s">
        <v>29</v>
      </c>
      <c r="I16" t="s">
        <v>13</v>
      </c>
      <c r="J16" t="str">
        <f>_xlfn.XLOOKUP(B16,'Restaurant Details'!$A$2:$A$13,'Restaurant Details'!$B$2:$B$13,"Not Found")</f>
        <v>Royal Thali</v>
      </c>
    </row>
    <row r="17" spans="1:10" x14ac:dyDescent="0.3">
      <c r="A17" t="s">
        <v>46</v>
      </c>
      <c r="B17" t="s">
        <v>33</v>
      </c>
      <c r="C17" t="s">
        <v>11</v>
      </c>
      <c r="D17" s="2">
        <v>46033</v>
      </c>
      <c r="E17" s="2">
        <v>46034</v>
      </c>
      <c r="F17">
        <v>26</v>
      </c>
      <c r="G17">
        <v>60</v>
      </c>
      <c r="H17" t="s">
        <v>12</v>
      </c>
      <c r="I17" t="s">
        <v>13</v>
      </c>
      <c r="J17" t="str">
        <f>_xlfn.XLOOKUP(B17,'Restaurant Details'!$A$2:$A$13,'Restaurant Details'!$B$2:$B$13,"Not Found")</f>
        <v>Biryani House</v>
      </c>
    </row>
    <row r="18" spans="1:10" x14ac:dyDescent="0.3">
      <c r="A18" t="s">
        <v>47</v>
      </c>
      <c r="B18" t="s">
        <v>48</v>
      </c>
      <c r="C18" t="s">
        <v>49</v>
      </c>
      <c r="D18" s="2">
        <v>46037</v>
      </c>
      <c r="E18" s="2">
        <v>46037</v>
      </c>
      <c r="F18">
        <v>55</v>
      </c>
      <c r="G18">
        <v>50</v>
      </c>
      <c r="H18" t="s">
        <v>12</v>
      </c>
      <c r="I18" t="s">
        <v>13</v>
      </c>
      <c r="J18" t="str">
        <f>_xlfn.XLOOKUP(B18,'Restaurant Details'!$A$2:$A$13,'Restaurant Details'!$B$2:$B$13,"Not Found")</f>
        <v>South Express</v>
      </c>
    </row>
    <row r="19" spans="1:10" x14ac:dyDescent="0.3">
      <c r="A19" t="s">
        <v>50</v>
      </c>
      <c r="B19" t="s">
        <v>10</v>
      </c>
      <c r="C19" t="s">
        <v>11</v>
      </c>
      <c r="D19" s="2">
        <v>46074</v>
      </c>
      <c r="E19" s="2">
        <v>46074</v>
      </c>
      <c r="F19">
        <v>44</v>
      </c>
      <c r="G19">
        <v>40</v>
      </c>
      <c r="H19" t="s">
        <v>29</v>
      </c>
      <c r="I19" t="s">
        <v>13</v>
      </c>
      <c r="J19" t="str">
        <f>_xlfn.XLOOKUP(B19,'Restaurant Details'!$A$2:$A$13,'Restaurant Details'!$B$2:$B$13,"Not Found")</f>
        <v>Pizza Point</v>
      </c>
    </row>
    <row r="20" spans="1:10" x14ac:dyDescent="0.3">
      <c r="A20" t="s">
        <v>51</v>
      </c>
      <c r="B20" t="s">
        <v>45</v>
      </c>
      <c r="C20" t="s">
        <v>36</v>
      </c>
      <c r="D20" s="2">
        <v>46042</v>
      </c>
      <c r="E20" s="2">
        <v>46043</v>
      </c>
      <c r="F20">
        <v>32</v>
      </c>
      <c r="G20">
        <v>45</v>
      </c>
      <c r="H20" t="s">
        <v>31</v>
      </c>
      <c r="I20" t="s">
        <v>13</v>
      </c>
      <c r="J20" t="str">
        <f>_xlfn.XLOOKUP(B20,'Restaurant Details'!$A$2:$A$13,'Restaurant Details'!$B$2:$B$13,"Not Found")</f>
        <v>Royal Thali</v>
      </c>
    </row>
    <row r="21" spans="1:10" x14ac:dyDescent="0.3">
      <c r="A21" t="s">
        <v>52</v>
      </c>
      <c r="B21" t="s">
        <v>20</v>
      </c>
      <c r="C21" t="s">
        <v>21</v>
      </c>
      <c r="D21" s="2">
        <v>46076</v>
      </c>
      <c r="E21" s="2">
        <v>46079</v>
      </c>
      <c r="F21">
        <v>25</v>
      </c>
      <c r="G21">
        <v>60</v>
      </c>
      <c r="H21" t="s">
        <v>17</v>
      </c>
      <c r="I21" t="s">
        <v>13</v>
      </c>
      <c r="J21" t="str">
        <f>_xlfn.XLOOKUP(B21,'Restaurant Details'!$A$2:$A$13,'Restaurant Details'!$B$2:$B$13,"Not Found")</f>
        <v>Burger Street</v>
      </c>
    </row>
    <row r="22" spans="1:10" x14ac:dyDescent="0.3">
      <c r="A22" t="s">
        <v>53</v>
      </c>
      <c r="B22" t="s">
        <v>54</v>
      </c>
      <c r="C22" t="s">
        <v>49</v>
      </c>
      <c r="D22" s="2">
        <v>46069</v>
      </c>
      <c r="E22" s="2">
        <v>46071</v>
      </c>
      <c r="F22">
        <v>24</v>
      </c>
      <c r="G22">
        <v>40</v>
      </c>
      <c r="H22" t="s">
        <v>12</v>
      </c>
      <c r="I22" t="s">
        <v>13</v>
      </c>
      <c r="J22" t="str">
        <f>_xlfn.XLOOKUP(B22,'Restaurant Details'!$A$2:$A$13,'Restaurant Details'!$B$2:$B$13,"Not Found")</f>
        <v>Green Bowl</v>
      </c>
    </row>
    <row r="23" spans="1:10" x14ac:dyDescent="0.3">
      <c r="A23" t="s">
        <v>55</v>
      </c>
      <c r="B23" t="s">
        <v>20</v>
      </c>
      <c r="C23" t="s">
        <v>21</v>
      </c>
      <c r="D23" s="2">
        <v>46031</v>
      </c>
      <c r="E23" s="2">
        <v>46033</v>
      </c>
      <c r="F23">
        <v>31</v>
      </c>
      <c r="G23">
        <v>30</v>
      </c>
      <c r="H23" t="s">
        <v>22</v>
      </c>
      <c r="I23" t="s">
        <v>13</v>
      </c>
      <c r="J23" t="str">
        <f>_xlfn.XLOOKUP(B23,'Restaurant Details'!$A$2:$A$13,'Restaurant Details'!$B$2:$B$13,"Not Found")</f>
        <v>Burger Street</v>
      </c>
    </row>
    <row r="24" spans="1:10" x14ac:dyDescent="0.3">
      <c r="A24" t="s">
        <v>56</v>
      </c>
      <c r="B24" t="s">
        <v>41</v>
      </c>
      <c r="C24" t="s">
        <v>28</v>
      </c>
      <c r="D24" s="2">
        <v>46043</v>
      </c>
      <c r="E24" s="2">
        <v>46044</v>
      </c>
      <c r="F24">
        <v>55</v>
      </c>
      <c r="G24">
        <v>50</v>
      </c>
      <c r="H24" t="s">
        <v>39</v>
      </c>
      <c r="I24" t="s">
        <v>13</v>
      </c>
      <c r="J24" t="str">
        <f>_xlfn.XLOOKUP(B24,'Restaurant Details'!$A$2:$A$13,'Restaurant Details'!$B$2:$B$13,"Not Found")</f>
        <v>Spice Hub</v>
      </c>
    </row>
    <row r="25" spans="1:10" x14ac:dyDescent="0.3">
      <c r="A25" t="s">
        <v>57</v>
      </c>
      <c r="B25" t="s">
        <v>33</v>
      </c>
      <c r="C25" t="s">
        <v>11</v>
      </c>
      <c r="D25" s="2">
        <v>46080</v>
      </c>
      <c r="E25" s="2">
        <v>46082</v>
      </c>
      <c r="F25">
        <v>31</v>
      </c>
      <c r="G25">
        <v>35</v>
      </c>
      <c r="H25" t="s">
        <v>29</v>
      </c>
      <c r="I25" t="s">
        <v>13</v>
      </c>
      <c r="J25" t="str">
        <f>_xlfn.XLOOKUP(B25,'Restaurant Details'!$A$2:$A$13,'Restaurant Details'!$B$2:$B$13,"Not Found")</f>
        <v>Biryani House</v>
      </c>
    </row>
    <row r="26" spans="1:10" x14ac:dyDescent="0.3">
      <c r="A26" t="s">
        <v>58</v>
      </c>
      <c r="B26" t="s">
        <v>25</v>
      </c>
      <c r="C26" t="s">
        <v>21</v>
      </c>
      <c r="D26" s="2">
        <v>46064</v>
      </c>
      <c r="E26" s="2">
        <v>46067</v>
      </c>
      <c r="F26">
        <v>41</v>
      </c>
      <c r="G26">
        <v>30</v>
      </c>
      <c r="H26" t="s">
        <v>29</v>
      </c>
      <c r="I26" t="s">
        <v>18</v>
      </c>
      <c r="J26" t="str">
        <f>_xlfn.XLOOKUP(B26,'Restaurant Details'!$A$2:$A$13,'Restaurant Details'!$B$2:$B$13,"Not Found")</f>
        <v>Curry Culture</v>
      </c>
    </row>
    <row r="27" spans="1:10" x14ac:dyDescent="0.3">
      <c r="A27" t="s">
        <v>59</v>
      </c>
      <c r="B27" t="s">
        <v>54</v>
      </c>
      <c r="C27" t="s">
        <v>49</v>
      </c>
      <c r="D27" s="2">
        <v>46035</v>
      </c>
      <c r="E27" s="2">
        <v>46035</v>
      </c>
      <c r="F27">
        <v>46</v>
      </c>
      <c r="G27">
        <v>50</v>
      </c>
      <c r="H27" t="s">
        <v>12</v>
      </c>
      <c r="I27" t="s">
        <v>13</v>
      </c>
      <c r="J27" t="str">
        <f>_xlfn.XLOOKUP(B27,'Restaurant Details'!$A$2:$A$13,'Restaurant Details'!$B$2:$B$13,"Not Found")</f>
        <v>Green Bowl</v>
      </c>
    </row>
    <row r="28" spans="1:10" x14ac:dyDescent="0.3">
      <c r="A28" t="s">
        <v>60</v>
      </c>
      <c r="B28" t="s">
        <v>54</v>
      </c>
      <c r="C28" t="s">
        <v>49</v>
      </c>
      <c r="D28" s="2">
        <v>46064</v>
      </c>
      <c r="E28" s="2">
        <v>46066</v>
      </c>
      <c r="F28">
        <v>37</v>
      </c>
      <c r="G28">
        <v>60</v>
      </c>
      <c r="H28" t="s">
        <v>29</v>
      </c>
      <c r="I28" t="s">
        <v>13</v>
      </c>
      <c r="J28" t="str">
        <f>_xlfn.XLOOKUP(B28,'Restaurant Details'!$A$2:$A$13,'Restaurant Details'!$B$2:$B$13,"Not Found")</f>
        <v>Green Bowl</v>
      </c>
    </row>
    <row r="29" spans="1:10" x14ac:dyDescent="0.3">
      <c r="A29" t="s">
        <v>61</v>
      </c>
      <c r="B29" t="s">
        <v>54</v>
      </c>
      <c r="C29" t="s">
        <v>49</v>
      </c>
      <c r="D29" s="2">
        <v>46070</v>
      </c>
      <c r="E29" s="2">
        <v>46073</v>
      </c>
      <c r="F29">
        <v>30</v>
      </c>
      <c r="G29">
        <v>30</v>
      </c>
      <c r="H29" t="s">
        <v>12</v>
      </c>
      <c r="I29" t="s">
        <v>13</v>
      </c>
      <c r="J29" t="str">
        <f>_xlfn.XLOOKUP(B29,'Restaurant Details'!$A$2:$A$13,'Restaurant Details'!$B$2:$B$13,"Not Found")</f>
        <v>Green Bowl</v>
      </c>
    </row>
    <row r="30" spans="1:10" x14ac:dyDescent="0.3">
      <c r="A30" t="s">
        <v>62</v>
      </c>
      <c r="B30" t="s">
        <v>20</v>
      </c>
      <c r="C30" t="s">
        <v>21</v>
      </c>
      <c r="D30" s="2">
        <v>46033</v>
      </c>
      <c r="E30" s="2">
        <v>46034</v>
      </c>
      <c r="F30">
        <v>23</v>
      </c>
      <c r="G30">
        <v>50</v>
      </c>
      <c r="H30" t="s">
        <v>39</v>
      </c>
      <c r="I30" t="s">
        <v>13</v>
      </c>
      <c r="J30" t="str">
        <f>_xlfn.XLOOKUP(B30,'Restaurant Details'!$A$2:$A$13,'Restaurant Details'!$B$2:$B$13,"Not Found")</f>
        <v>Burger Street</v>
      </c>
    </row>
    <row r="31" spans="1:10" x14ac:dyDescent="0.3">
      <c r="A31" t="s">
        <v>63</v>
      </c>
      <c r="B31" t="s">
        <v>27</v>
      </c>
      <c r="C31" t="s">
        <v>28</v>
      </c>
      <c r="D31" s="2">
        <v>46082</v>
      </c>
      <c r="E31" s="2">
        <v>46082</v>
      </c>
      <c r="F31">
        <v>40</v>
      </c>
      <c r="G31">
        <v>30</v>
      </c>
      <c r="H31" t="s">
        <v>17</v>
      </c>
      <c r="I31" t="s">
        <v>18</v>
      </c>
      <c r="J31" t="str">
        <f>_xlfn.XLOOKUP(B31,'Restaurant Details'!$A$2:$A$13,'Restaurant Details'!$B$2:$B$13,"Not Found")</f>
        <v>Urban Tadka</v>
      </c>
    </row>
    <row r="32" spans="1:10" x14ac:dyDescent="0.3">
      <c r="A32" t="s">
        <v>64</v>
      </c>
      <c r="B32" t="s">
        <v>48</v>
      </c>
      <c r="C32" t="s">
        <v>49</v>
      </c>
      <c r="D32" s="2">
        <v>46052</v>
      </c>
      <c r="E32" s="2">
        <v>46055</v>
      </c>
      <c r="F32">
        <v>36</v>
      </c>
      <c r="G32">
        <v>45</v>
      </c>
      <c r="H32" t="s">
        <v>12</v>
      </c>
      <c r="I32" t="s">
        <v>13</v>
      </c>
      <c r="J32" t="str">
        <f>_xlfn.XLOOKUP(B32,'Restaurant Details'!$A$2:$A$13,'Restaurant Details'!$B$2:$B$13,"Not Found")</f>
        <v>South Express</v>
      </c>
    </row>
    <row r="33" spans="1:10" x14ac:dyDescent="0.3">
      <c r="A33" t="s">
        <v>65</v>
      </c>
      <c r="B33" t="s">
        <v>10</v>
      </c>
      <c r="C33" t="s">
        <v>11</v>
      </c>
      <c r="D33" s="2">
        <v>46081</v>
      </c>
      <c r="E33" s="2">
        <v>46084</v>
      </c>
      <c r="F33">
        <v>34</v>
      </c>
      <c r="G33">
        <v>50</v>
      </c>
      <c r="H33" t="s">
        <v>22</v>
      </c>
      <c r="I33" t="s">
        <v>18</v>
      </c>
      <c r="J33" t="str">
        <f>_xlfn.XLOOKUP(B33,'Restaurant Details'!$A$2:$A$13,'Restaurant Details'!$B$2:$B$13,"Not Found")</f>
        <v>Pizza Point</v>
      </c>
    </row>
    <row r="34" spans="1:10" x14ac:dyDescent="0.3">
      <c r="A34" t="s">
        <v>66</v>
      </c>
      <c r="B34" t="s">
        <v>41</v>
      </c>
      <c r="C34" t="s">
        <v>28</v>
      </c>
      <c r="D34" s="2">
        <v>46065</v>
      </c>
      <c r="E34" s="2">
        <v>46065</v>
      </c>
      <c r="F34">
        <v>22</v>
      </c>
      <c r="G34">
        <v>40</v>
      </c>
      <c r="H34" t="s">
        <v>39</v>
      </c>
      <c r="I34" t="s">
        <v>13</v>
      </c>
      <c r="J34" t="str">
        <f>_xlfn.XLOOKUP(B34,'Restaurant Details'!$A$2:$A$13,'Restaurant Details'!$B$2:$B$13,"Not Found")</f>
        <v>Spice Hub</v>
      </c>
    </row>
    <row r="35" spans="1:10" x14ac:dyDescent="0.3">
      <c r="A35" t="s">
        <v>67</v>
      </c>
      <c r="B35" t="s">
        <v>20</v>
      </c>
      <c r="C35" t="s">
        <v>21</v>
      </c>
      <c r="D35" s="2">
        <v>46075</v>
      </c>
      <c r="E35" s="2">
        <v>46076</v>
      </c>
      <c r="F35">
        <v>36</v>
      </c>
      <c r="G35">
        <v>35</v>
      </c>
      <c r="H35" t="s">
        <v>22</v>
      </c>
      <c r="I35" t="s">
        <v>18</v>
      </c>
      <c r="J35" t="str">
        <f>_xlfn.XLOOKUP(B35,'Restaurant Details'!$A$2:$A$13,'Restaurant Details'!$B$2:$B$13,"Not Found")</f>
        <v>Burger Street</v>
      </c>
    </row>
    <row r="36" spans="1:10" x14ac:dyDescent="0.3">
      <c r="A36" t="s">
        <v>68</v>
      </c>
      <c r="B36" t="s">
        <v>48</v>
      </c>
      <c r="C36" t="s">
        <v>49</v>
      </c>
      <c r="D36" s="2">
        <v>46074</v>
      </c>
      <c r="E36" s="2">
        <v>46074</v>
      </c>
      <c r="F36">
        <v>37</v>
      </c>
      <c r="G36">
        <v>40</v>
      </c>
      <c r="H36" t="s">
        <v>12</v>
      </c>
      <c r="I36" t="s">
        <v>13</v>
      </c>
      <c r="J36" t="str">
        <f>_xlfn.XLOOKUP(B36,'Restaurant Details'!$A$2:$A$13,'Restaurant Details'!$B$2:$B$13,"Not Found")</f>
        <v>South Express</v>
      </c>
    </row>
    <row r="37" spans="1:10" x14ac:dyDescent="0.3">
      <c r="A37" t="s">
        <v>69</v>
      </c>
      <c r="B37" t="s">
        <v>35</v>
      </c>
      <c r="C37" t="s">
        <v>36</v>
      </c>
      <c r="D37" s="2">
        <v>46045</v>
      </c>
      <c r="E37" s="2">
        <v>46048</v>
      </c>
      <c r="F37">
        <v>58</v>
      </c>
      <c r="G37">
        <v>25</v>
      </c>
      <c r="H37" t="s">
        <v>29</v>
      </c>
      <c r="I37" t="s">
        <v>18</v>
      </c>
      <c r="J37" t="str">
        <f>_xlfn.XLOOKUP(B37,'Restaurant Details'!$A$2:$A$13,'Restaurant Details'!$B$2:$B$13,"Not Found")</f>
        <v>Chaat Corner</v>
      </c>
    </row>
    <row r="38" spans="1:10" x14ac:dyDescent="0.3">
      <c r="A38" t="s">
        <v>70</v>
      </c>
      <c r="B38" t="s">
        <v>41</v>
      </c>
      <c r="C38" t="s">
        <v>28</v>
      </c>
      <c r="D38" s="2">
        <v>46059</v>
      </c>
      <c r="E38" s="2">
        <v>46061</v>
      </c>
      <c r="F38">
        <v>55</v>
      </c>
      <c r="G38">
        <v>35</v>
      </c>
      <c r="H38" t="s">
        <v>17</v>
      </c>
      <c r="I38" t="s">
        <v>18</v>
      </c>
      <c r="J38" t="str">
        <f>_xlfn.XLOOKUP(B38,'Restaurant Details'!$A$2:$A$13,'Restaurant Details'!$B$2:$B$13,"Not Found")</f>
        <v>Spice Hub</v>
      </c>
    </row>
    <row r="39" spans="1:10" x14ac:dyDescent="0.3">
      <c r="A39" t="s">
        <v>71</v>
      </c>
      <c r="B39" t="s">
        <v>15</v>
      </c>
      <c r="C39" t="s">
        <v>16</v>
      </c>
      <c r="D39" s="2">
        <v>46075</v>
      </c>
      <c r="E39" s="2">
        <v>46076</v>
      </c>
      <c r="F39">
        <v>26</v>
      </c>
      <c r="G39">
        <v>45</v>
      </c>
      <c r="H39" t="s">
        <v>17</v>
      </c>
      <c r="I39" t="s">
        <v>13</v>
      </c>
      <c r="J39" t="str">
        <f>_xlfn.XLOOKUP(B39,'Restaurant Details'!$A$2:$A$13,'Restaurant Details'!$B$2:$B$13,"Not Found")</f>
        <v>The Dosa Cafe</v>
      </c>
    </row>
    <row r="40" spans="1:10" x14ac:dyDescent="0.3">
      <c r="A40" t="s">
        <v>72</v>
      </c>
      <c r="B40" t="s">
        <v>48</v>
      </c>
      <c r="C40" t="s">
        <v>49</v>
      </c>
      <c r="D40" s="2">
        <v>46031</v>
      </c>
      <c r="E40" s="2">
        <v>46033</v>
      </c>
      <c r="F40">
        <v>48</v>
      </c>
      <c r="G40">
        <v>25</v>
      </c>
      <c r="H40" t="s">
        <v>31</v>
      </c>
      <c r="I40" t="s">
        <v>13</v>
      </c>
      <c r="J40" t="str">
        <f>_xlfn.XLOOKUP(B40,'Restaurant Details'!$A$2:$A$13,'Restaurant Details'!$B$2:$B$13,"Not Found")</f>
        <v>South Express</v>
      </c>
    </row>
    <row r="41" spans="1:10" x14ac:dyDescent="0.3">
      <c r="A41" t="s">
        <v>73</v>
      </c>
      <c r="B41" t="s">
        <v>45</v>
      </c>
      <c r="C41" t="s">
        <v>36</v>
      </c>
      <c r="D41" s="2">
        <v>46079</v>
      </c>
      <c r="E41" s="2">
        <v>46082</v>
      </c>
      <c r="F41">
        <v>54</v>
      </c>
      <c r="G41">
        <v>45</v>
      </c>
      <c r="H41" t="s">
        <v>31</v>
      </c>
      <c r="I41" t="s">
        <v>13</v>
      </c>
      <c r="J41" t="str">
        <f>_xlfn.XLOOKUP(B41,'Restaurant Details'!$A$2:$A$13,'Restaurant Details'!$B$2:$B$13,"Not Found")</f>
        <v>Royal Thali</v>
      </c>
    </row>
    <row r="42" spans="1:10" x14ac:dyDescent="0.3">
      <c r="A42" t="s">
        <v>74</v>
      </c>
      <c r="B42" t="s">
        <v>25</v>
      </c>
      <c r="C42" t="s">
        <v>21</v>
      </c>
      <c r="D42" s="2">
        <v>46060</v>
      </c>
      <c r="E42" s="2">
        <v>46063</v>
      </c>
      <c r="F42">
        <v>47</v>
      </c>
      <c r="G42">
        <v>25</v>
      </c>
      <c r="H42" t="s">
        <v>12</v>
      </c>
      <c r="I42" t="s">
        <v>13</v>
      </c>
      <c r="J42" t="str">
        <f>_xlfn.XLOOKUP(B42,'Restaurant Details'!$A$2:$A$13,'Restaurant Details'!$B$2:$B$13,"Not Found")</f>
        <v>Curry Culture</v>
      </c>
    </row>
    <row r="43" spans="1:10" x14ac:dyDescent="0.3">
      <c r="A43" t="s">
        <v>75</v>
      </c>
      <c r="B43" t="s">
        <v>41</v>
      </c>
      <c r="C43" t="s">
        <v>28</v>
      </c>
      <c r="D43" s="2">
        <v>46069</v>
      </c>
      <c r="E43" s="2">
        <v>46072</v>
      </c>
      <c r="F43">
        <v>24</v>
      </c>
      <c r="G43">
        <v>30</v>
      </c>
      <c r="H43" t="s">
        <v>17</v>
      </c>
      <c r="I43" t="s">
        <v>18</v>
      </c>
      <c r="J43" t="str">
        <f>_xlfn.XLOOKUP(B43,'Restaurant Details'!$A$2:$A$13,'Restaurant Details'!$B$2:$B$13,"Not Found")</f>
        <v>Spice Hub</v>
      </c>
    </row>
    <row r="44" spans="1:10" x14ac:dyDescent="0.3">
      <c r="A44" t="s">
        <v>76</v>
      </c>
      <c r="B44" t="s">
        <v>20</v>
      </c>
      <c r="C44" t="s">
        <v>21</v>
      </c>
      <c r="D44" s="2">
        <v>46073</v>
      </c>
      <c r="E44" s="2">
        <v>46076</v>
      </c>
      <c r="F44">
        <v>51</v>
      </c>
      <c r="G44">
        <v>60</v>
      </c>
      <c r="H44" t="s">
        <v>12</v>
      </c>
      <c r="I44" t="s">
        <v>13</v>
      </c>
      <c r="J44" t="str">
        <f>_xlfn.XLOOKUP(B44,'Restaurant Details'!$A$2:$A$13,'Restaurant Details'!$B$2:$B$13,"Not Found")</f>
        <v>Burger Street</v>
      </c>
    </row>
    <row r="45" spans="1:10" x14ac:dyDescent="0.3">
      <c r="A45" t="s">
        <v>77</v>
      </c>
      <c r="B45" t="s">
        <v>20</v>
      </c>
      <c r="C45" t="s">
        <v>21</v>
      </c>
      <c r="D45" s="2">
        <v>46047</v>
      </c>
      <c r="E45" s="2">
        <v>46050</v>
      </c>
      <c r="F45">
        <v>36</v>
      </c>
      <c r="G45">
        <v>50</v>
      </c>
      <c r="H45" t="s">
        <v>22</v>
      </c>
      <c r="I45" t="s">
        <v>13</v>
      </c>
      <c r="J45" t="str">
        <f>_xlfn.XLOOKUP(B45,'Restaurant Details'!$A$2:$A$13,'Restaurant Details'!$B$2:$B$13,"Not Found")</f>
        <v>Burger Street</v>
      </c>
    </row>
    <row r="46" spans="1:10" x14ac:dyDescent="0.3">
      <c r="A46" t="s">
        <v>78</v>
      </c>
      <c r="B46" t="s">
        <v>41</v>
      </c>
      <c r="C46" t="s">
        <v>28</v>
      </c>
      <c r="D46" s="2">
        <v>46057</v>
      </c>
      <c r="E46" s="2">
        <v>46058</v>
      </c>
      <c r="F46">
        <v>53</v>
      </c>
      <c r="G46">
        <v>35</v>
      </c>
      <c r="H46" t="s">
        <v>22</v>
      </c>
      <c r="I46" t="s">
        <v>18</v>
      </c>
      <c r="J46" t="str">
        <f>_xlfn.XLOOKUP(B46,'Restaurant Details'!$A$2:$A$13,'Restaurant Details'!$B$2:$B$13,"Not Found")</f>
        <v>Spice Hub</v>
      </c>
    </row>
    <row r="47" spans="1:10" x14ac:dyDescent="0.3">
      <c r="A47" t="s">
        <v>79</v>
      </c>
      <c r="B47" t="s">
        <v>33</v>
      </c>
      <c r="C47" t="s">
        <v>11</v>
      </c>
      <c r="D47" s="2">
        <v>46076</v>
      </c>
      <c r="E47" s="2">
        <v>46079</v>
      </c>
      <c r="F47">
        <v>38</v>
      </c>
      <c r="G47">
        <v>30</v>
      </c>
      <c r="H47" t="s">
        <v>39</v>
      </c>
      <c r="I47" t="s">
        <v>13</v>
      </c>
      <c r="J47" t="str">
        <f>_xlfn.XLOOKUP(B47,'Restaurant Details'!$A$2:$A$13,'Restaurant Details'!$B$2:$B$13,"Not Found")</f>
        <v>Biryani House</v>
      </c>
    </row>
    <row r="48" spans="1:10" x14ac:dyDescent="0.3">
      <c r="A48" t="s">
        <v>80</v>
      </c>
      <c r="B48" t="s">
        <v>20</v>
      </c>
      <c r="C48" t="s">
        <v>21</v>
      </c>
      <c r="D48" s="2">
        <v>46046</v>
      </c>
      <c r="E48" s="2">
        <v>46049</v>
      </c>
      <c r="F48">
        <v>55</v>
      </c>
      <c r="G48">
        <v>50</v>
      </c>
      <c r="H48" t="s">
        <v>31</v>
      </c>
      <c r="I48" t="s">
        <v>13</v>
      </c>
      <c r="J48" t="str">
        <f>_xlfn.XLOOKUP(B48,'Restaurant Details'!$A$2:$A$13,'Restaurant Details'!$B$2:$B$13,"Not Found")</f>
        <v>Burger Street</v>
      </c>
    </row>
    <row r="49" spans="1:10" x14ac:dyDescent="0.3">
      <c r="A49" t="s">
        <v>81</v>
      </c>
      <c r="B49" t="s">
        <v>48</v>
      </c>
      <c r="C49" t="s">
        <v>49</v>
      </c>
      <c r="D49" s="2">
        <v>46039</v>
      </c>
      <c r="E49" s="2">
        <v>46041</v>
      </c>
      <c r="F49">
        <v>47</v>
      </c>
      <c r="G49">
        <v>50</v>
      </c>
      <c r="H49" t="s">
        <v>12</v>
      </c>
      <c r="I49" t="s">
        <v>13</v>
      </c>
      <c r="J49" t="str">
        <f>_xlfn.XLOOKUP(B49,'Restaurant Details'!$A$2:$A$13,'Restaurant Details'!$B$2:$B$13,"Not Found")</f>
        <v>South Express</v>
      </c>
    </row>
    <row r="50" spans="1:10" x14ac:dyDescent="0.3">
      <c r="A50" t="s">
        <v>82</v>
      </c>
      <c r="B50" t="s">
        <v>15</v>
      </c>
      <c r="C50" t="s">
        <v>16</v>
      </c>
      <c r="D50" s="2">
        <v>46038</v>
      </c>
      <c r="E50" s="2">
        <v>46038</v>
      </c>
      <c r="F50">
        <v>55</v>
      </c>
      <c r="G50">
        <v>35</v>
      </c>
      <c r="H50" t="s">
        <v>29</v>
      </c>
      <c r="I50" t="s">
        <v>13</v>
      </c>
      <c r="J50" t="str">
        <f>_xlfn.XLOOKUP(B50,'Restaurant Details'!$A$2:$A$13,'Restaurant Details'!$B$2:$B$13,"Not Found")</f>
        <v>The Dosa Cafe</v>
      </c>
    </row>
    <row r="51" spans="1:10" x14ac:dyDescent="0.3">
      <c r="A51" t="s">
        <v>83</v>
      </c>
      <c r="B51" t="s">
        <v>35</v>
      </c>
      <c r="C51" t="s">
        <v>36</v>
      </c>
      <c r="D51" s="2">
        <v>46074</v>
      </c>
      <c r="E51" s="2">
        <v>46077</v>
      </c>
      <c r="F51">
        <v>28</v>
      </c>
      <c r="G51">
        <v>30</v>
      </c>
      <c r="H51" t="s">
        <v>22</v>
      </c>
      <c r="I51" t="s">
        <v>13</v>
      </c>
      <c r="J51" t="str">
        <f>_xlfn.XLOOKUP(B51,'Restaurant Details'!$A$2:$A$13,'Restaurant Details'!$B$2:$B$13,"Not Found")</f>
        <v>Chaat Corner</v>
      </c>
    </row>
    <row r="52" spans="1:10" x14ac:dyDescent="0.3">
      <c r="A52" t="s">
        <v>84</v>
      </c>
      <c r="B52" t="s">
        <v>33</v>
      </c>
      <c r="C52" t="s">
        <v>11</v>
      </c>
      <c r="D52" s="2">
        <v>46070</v>
      </c>
      <c r="E52" s="2">
        <v>46072</v>
      </c>
      <c r="F52">
        <v>45</v>
      </c>
      <c r="G52">
        <v>50</v>
      </c>
      <c r="H52" t="s">
        <v>29</v>
      </c>
      <c r="I52" t="s">
        <v>13</v>
      </c>
      <c r="J52" t="str">
        <f>_xlfn.XLOOKUP(B52,'Restaurant Details'!$A$2:$A$13,'Restaurant Details'!$B$2:$B$13,"Not Found")</f>
        <v>Biryani House</v>
      </c>
    </row>
    <row r="53" spans="1:10" x14ac:dyDescent="0.3">
      <c r="A53" t="s">
        <v>85</v>
      </c>
      <c r="B53" t="s">
        <v>54</v>
      </c>
      <c r="C53" t="s">
        <v>49</v>
      </c>
      <c r="D53" s="2">
        <v>46032</v>
      </c>
      <c r="E53" s="2">
        <v>46032</v>
      </c>
      <c r="F53">
        <v>42</v>
      </c>
      <c r="G53">
        <v>45</v>
      </c>
      <c r="H53" t="s">
        <v>17</v>
      </c>
      <c r="I53" t="s">
        <v>13</v>
      </c>
      <c r="J53" t="str">
        <f>_xlfn.XLOOKUP(B53,'Restaurant Details'!$A$2:$A$13,'Restaurant Details'!$B$2:$B$13,"Not Found")</f>
        <v>Green Bowl</v>
      </c>
    </row>
    <row r="54" spans="1:10" x14ac:dyDescent="0.3">
      <c r="A54" t="s">
        <v>86</v>
      </c>
      <c r="B54" t="s">
        <v>45</v>
      </c>
      <c r="C54" t="s">
        <v>36</v>
      </c>
      <c r="D54" s="2">
        <v>46059</v>
      </c>
      <c r="E54" s="2">
        <v>46060</v>
      </c>
      <c r="F54">
        <v>37</v>
      </c>
      <c r="G54">
        <v>45</v>
      </c>
      <c r="H54" t="s">
        <v>22</v>
      </c>
      <c r="I54" t="s">
        <v>13</v>
      </c>
      <c r="J54" t="str">
        <f>_xlfn.XLOOKUP(B54,'Restaurant Details'!$A$2:$A$13,'Restaurant Details'!$B$2:$B$13,"Not Found")</f>
        <v>Royal Thali</v>
      </c>
    </row>
    <row r="55" spans="1:10" x14ac:dyDescent="0.3">
      <c r="A55" t="s">
        <v>87</v>
      </c>
      <c r="B55" t="s">
        <v>35</v>
      </c>
      <c r="C55" t="s">
        <v>36</v>
      </c>
      <c r="D55" s="2">
        <v>46051</v>
      </c>
      <c r="E55" s="2">
        <v>46052</v>
      </c>
      <c r="F55">
        <v>47</v>
      </c>
      <c r="G55">
        <v>40</v>
      </c>
      <c r="H55" t="s">
        <v>39</v>
      </c>
      <c r="I55" t="s">
        <v>13</v>
      </c>
      <c r="J55" t="str">
        <f>_xlfn.XLOOKUP(B55,'Restaurant Details'!$A$2:$A$13,'Restaurant Details'!$B$2:$B$13,"Not Found")</f>
        <v>Chaat Corner</v>
      </c>
    </row>
    <row r="56" spans="1:10" x14ac:dyDescent="0.3">
      <c r="A56" t="s">
        <v>88</v>
      </c>
      <c r="B56" t="s">
        <v>25</v>
      </c>
      <c r="C56" t="s">
        <v>21</v>
      </c>
      <c r="D56" s="2">
        <v>46066</v>
      </c>
      <c r="E56" s="2">
        <v>46068</v>
      </c>
      <c r="F56">
        <v>33</v>
      </c>
      <c r="G56">
        <v>50</v>
      </c>
      <c r="H56" t="s">
        <v>39</v>
      </c>
      <c r="I56" t="s">
        <v>18</v>
      </c>
      <c r="J56" t="str">
        <f>_xlfn.XLOOKUP(B56,'Restaurant Details'!$A$2:$A$13,'Restaurant Details'!$B$2:$B$13,"Not Found")</f>
        <v>Curry Culture</v>
      </c>
    </row>
    <row r="57" spans="1:10" x14ac:dyDescent="0.3">
      <c r="A57" t="s">
        <v>89</v>
      </c>
      <c r="B57" t="s">
        <v>54</v>
      </c>
      <c r="C57" t="s">
        <v>49</v>
      </c>
      <c r="D57" s="2">
        <v>46033</v>
      </c>
      <c r="E57" s="2">
        <v>46034</v>
      </c>
      <c r="F57">
        <v>35</v>
      </c>
      <c r="G57">
        <v>25</v>
      </c>
      <c r="H57" t="s">
        <v>17</v>
      </c>
      <c r="I57" t="s">
        <v>13</v>
      </c>
      <c r="J57" t="str">
        <f>_xlfn.XLOOKUP(B57,'Restaurant Details'!$A$2:$A$13,'Restaurant Details'!$B$2:$B$13,"Not Found")</f>
        <v>Green Bowl</v>
      </c>
    </row>
    <row r="58" spans="1:10" x14ac:dyDescent="0.3">
      <c r="A58" t="s">
        <v>90</v>
      </c>
      <c r="B58" t="s">
        <v>41</v>
      </c>
      <c r="C58" t="s">
        <v>28</v>
      </c>
      <c r="D58" s="2">
        <v>46031</v>
      </c>
      <c r="E58" s="2">
        <v>46031</v>
      </c>
      <c r="F58">
        <v>47</v>
      </c>
      <c r="G58">
        <v>45</v>
      </c>
      <c r="H58" t="s">
        <v>39</v>
      </c>
      <c r="I58" t="s">
        <v>13</v>
      </c>
      <c r="J58" t="str">
        <f>_xlfn.XLOOKUP(B58,'Restaurant Details'!$A$2:$A$13,'Restaurant Details'!$B$2:$B$13,"Not Found")</f>
        <v>Spice Hub</v>
      </c>
    </row>
    <row r="59" spans="1:10" x14ac:dyDescent="0.3">
      <c r="A59" t="s">
        <v>91</v>
      </c>
      <c r="B59" t="s">
        <v>33</v>
      </c>
      <c r="C59" t="s">
        <v>11</v>
      </c>
      <c r="D59" s="2">
        <v>46027</v>
      </c>
      <c r="E59" s="2">
        <v>46028</v>
      </c>
      <c r="F59">
        <v>28</v>
      </c>
      <c r="G59">
        <v>35</v>
      </c>
      <c r="H59" t="s">
        <v>12</v>
      </c>
      <c r="I59" t="s">
        <v>13</v>
      </c>
      <c r="J59" t="str">
        <f>_xlfn.XLOOKUP(B59,'Restaurant Details'!$A$2:$A$13,'Restaurant Details'!$B$2:$B$13,"Not Found")</f>
        <v>Biryani House</v>
      </c>
    </row>
    <row r="60" spans="1:10" x14ac:dyDescent="0.3">
      <c r="A60" t="s">
        <v>92</v>
      </c>
      <c r="B60" t="s">
        <v>48</v>
      </c>
      <c r="C60" t="s">
        <v>49</v>
      </c>
      <c r="D60" s="2">
        <v>46027</v>
      </c>
      <c r="E60" s="2">
        <v>46029</v>
      </c>
      <c r="F60">
        <v>32</v>
      </c>
      <c r="G60">
        <v>30</v>
      </c>
      <c r="H60" t="s">
        <v>29</v>
      </c>
      <c r="I60" t="s">
        <v>13</v>
      </c>
      <c r="J60" t="str">
        <f>_xlfn.XLOOKUP(B60,'Restaurant Details'!$A$2:$A$13,'Restaurant Details'!$B$2:$B$13,"Not Found")</f>
        <v>South Express</v>
      </c>
    </row>
    <row r="61" spans="1:10" x14ac:dyDescent="0.3">
      <c r="A61" t="s">
        <v>93</v>
      </c>
      <c r="B61" t="s">
        <v>15</v>
      </c>
      <c r="C61" t="s">
        <v>16</v>
      </c>
      <c r="D61" s="2">
        <v>46080</v>
      </c>
      <c r="E61" s="2">
        <v>46080</v>
      </c>
      <c r="F61">
        <v>41</v>
      </c>
      <c r="G61">
        <v>30</v>
      </c>
      <c r="H61" t="s">
        <v>39</v>
      </c>
      <c r="I61" t="s">
        <v>13</v>
      </c>
      <c r="J61" t="str">
        <f>_xlfn.XLOOKUP(B61,'Restaurant Details'!$A$2:$A$13,'Restaurant Details'!$B$2:$B$13,"Not Found")</f>
        <v>The Dosa Cafe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6" customWidth="1"/>
    <col min="2" max="2" width="22" customWidth="1"/>
    <col min="3" max="3" width="16" customWidth="1"/>
  </cols>
  <sheetData>
    <row r="1" spans="1:3" x14ac:dyDescent="0.3">
      <c r="A1" s="1" t="s">
        <v>1</v>
      </c>
      <c r="B1" s="1" t="s">
        <v>94</v>
      </c>
      <c r="C1" s="1" t="s">
        <v>2</v>
      </c>
    </row>
    <row r="2" spans="1:3" x14ac:dyDescent="0.3">
      <c r="A2" t="s">
        <v>41</v>
      </c>
      <c r="B2" t="s">
        <v>95</v>
      </c>
      <c r="C2" t="s">
        <v>28</v>
      </c>
    </row>
    <row r="3" spans="1:3" x14ac:dyDescent="0.3">
      <c r="A3" t="s">
        <v>27</v>
      </c>
      <c r="B3" t="s">
        <v>96</v>
      </c>
      <c r="C3" t="s">
        <v>28</v>
      </c>
    </row>
    <row r="4" spans="1:3" x14ac:dyDescent="0.3">
      <c r="A4" t="s">
        <v>10</v>
      </c>
      <c r="B4" t="s">
        <v>97</v>
      </c>
      <c r="C4" t="s">
        <v>11</v>
      </c>
    </row>
    <row r="5" spans="1:3" x14ac:dyDescent="0.3">
      <c r="A5" t="s">
        <v>33</v>
      </c>
      <c r="B5" t="s">
        <v>98</v>
      </c>
      <c r="C5" t="s">
        <v>11</v>
      </c>
    </row>
    <row r="6" spans="1:3" x14ac:dyDescent="0.3">
      <c r="A6" t="s">
        <v>54</v>
      </c>
      <c r="B6" t="s">
        <v>99</v>
      </c>
      <c r="C6" t="s">
        <v>49</v>
      </c>
    </row>
    <row r="7" spans="1:3" x14ac:dyDescent="0.3">
      <c r="A7" t="s">
        <v>48</v>
      </c>
      <c r="B7" t="s">
        <v>100</v>
      </c>
      <c r="C7" t="s">
        <v>49</v>
      </c>
    </row>
    <row r="8" spans="1:3" x14ac:dyDescent="0.3">
      <c r="A8" t="s">
        <v>20</v>
      </c>
      <c r="B8" t="s">
        <v>101</v>
      </c>
      <c r="C8" t="s">
        <v>21</v>
      </c>
    </row>
    <row r="9" spans="1:3" x14ac:dyDescent="0.3">
      <c r="A9" t="s">
        <v>25</v>
      </c>
      <c r="B9" t="s">
        <v>102</v>
      </c>
      <c r="C9" t="s">
        <v>21</v>
      </c>
    </row>
    <row r="10" spans="1:3" x14ac:dyDescent="0.3">
      <c r="A10" t="s">
        <v>15</v>
      </c>
      <c r="B10" t="s">
        <v>103</v>
      </c>
      <c r="C10" t="s">
        <v>16</v>
      </c>
    </row>
    <row r="11" spans="1:3" x14ac:dyDescent="0.3">
      <c r="A11" t="s">
        <v>104</v>
      </c>
      <c r="B11" t="s">
        <v>105</v>
      </c>
      <c r="C11" t="s">
        <v>16</v>
      </c>
    </row>
    <row r="12" spans="1:3" x14ac:dyDescent="0.3">
      <c r="A12" t="s">
        <v>45</v>
      </c>
      <c r="B12" t="s">
        <v>106</v>
      </c>
      <c r="C12" t="s">
        <v>36</v>
      </c>
    </row>
    <row r="13" spans="1:3" x14ac:dyDescent="0.3">
      <c r="A13" t="s">
        <v>35</v>
      </c>
      <c r="B13" t="s">
        <v>107</v>
      </c>
      <c r="C13" t="s">
        <v>36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1"/>
  <sheetViews>
    <sheetView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1" width="16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94</v>
      </c>
      <c r="K1" s="1" t="s">
        <v>108</v>
      </c>
    </row>
    <row r="2" spans="1:11" x14ac:dyDescent="0.3">
      <c r="A2" t="s">
        <v>9</v>
      </c>
      <c r="B2" t="s">
        <v>10</v>
      </c>
      <c r="C2" t="s">
        <v>11</v>
      </c>
      <c r="D2" s="2">
        <v>46053</v>
      </c>
      <c r="E2" s="2">
        <v>46056</v>
      </c>
      <c r="F2">
        <v>40</v>
      </c>
      <c r="G2">
        <v>40</v>
      </c>
      <c r="H2" t="s">
        <v>12</v>
      </c>
      <c r="I2" t="s">
        <v>13</v>
      </c>
      <c r="J2" t="str">
        <f>_xlfn.XLOOKUP(B2,'Restaurant Details'!$A$2:$A$13,'Restaurant Details'!$B$2:$B$13,"Not Found")</f>
        <v>Pizza Point</v>
      </c>
      <c r="K2" t="str">
        <f t="shared" ref="K2:K33" si="0">TEXT(E2,"dddd")</f>
        <v>Tuesday</v>
      </c>
    </row>
    <row r="3" spans="1:11" x14ac:dyDescent="0.3">
      <c r="A3" t="s">
        <v>14</v>
      </c>
      <c r="B3" t="s">
        <v>15</v>
      </c>
      <c r="C3" t="s">
        <v>16</v>
      </c>
      <c r="D3" s="2">
        <v>46038</v>
      </c>
      <c r="E3" s="2">
        <v>46039</v>
      </c>
      <c r="F3">
        <v>22</v>
      </c>
      <c r="G3">
        <v>25</v>
      </c>
      <c r="H3" t="s">
        <v>17</v>
      </c>
      <c r="I3" t="s">
        <v>18</v>
      </c>
      <c r="J3" t="str">
        <f>_xlfn.XLOOKUP(B3,'Restaurant Details'!$A$2:$A$13,'Restaurant Details'!$B$2:$B$13,"Not Found")</f>
        <v>The Dosa Cafe</v>
      </c>
      <c r="K3" t="str">
        <f t="shared" si="0"/>
        <v>Saturday</v>
      </c>
    </row>
    <row r="4" spans="1:11" x14ac:dyDescent="0.3">
      <c r="A4" t="s">
        <v>19</v>
      </c>
      <c r="B4" t="s">
        <v>20</v>
      </c>
      <c r="C4" t="s">
        <v>21</v>
      </c>
      <c r="D4" s="2">
        <v>46031</v>
      </c>
      <c r="E4" s="2">
        <v>46032</v>
      </c>
      <c r="F4">
        <v>36</v>
      </c>
      <c r="G4">
        <v>30</v>
      </c>
      <c r="H4" t="s">
        <v>22</v>
      </c>
      <c r="I4" t="s">
        <v>13</v>
      </c>
      <c r="J4" t="str">
        <f>_xlfn.XLOOKUP(B4,'Restaurant Details'!$A$2:$A$13,'Restaurant Details'!$B$2:$B$13,"Not Found")</f>
        <v>Burger Street</v>
      </c>
      <c r="K4" t="str">
        <f t="shared" si="0"/>
        <v>Saturday</v>
      </c>
    </row>
    <row r="5" spans="1:11" x14ac:dyDescent="0.3">
      <c r="A5" t="s">
        <v>23</v>
      </c>
      <c r="B5" t="s">
        <v>20</v>
      </c>
      <c r="C5" t="s">
        <v>21</v>
      </c>
      <c r="D5" s="2">
        <v>46074</v>
      </c>
      <c r="E5" s="2">
        <v>46077</v>
      </c>
      <c r="F5">
        <v>50</v>
      </c>
      <c r="G5">
        <v>25</v>
      </c>
      <c r="H5" t="s">
        <v>17</v>
      </c>
      <c r="I5" t="s">
        <v>18</v>
      </c>
      <c r="J5" t="str">
        <f>_xlfn.XLOOKUP(B5,'Restaurant Details'!$A$2:$A$13,'Restaurant Details'!$B$2:$B$13,"Not Found")</f>
        <v>Burger Street</v>
      </c>
      <c r="K5" t="str">
        <f t="shared" si="0"/>
        <v>Tuesday</v>
      </c>
    </row>
    <row r="6" spans="1:11" x14ac:dyDescent="0.3">
      <c r="A6" t="s">
        <v>24</v>
      </c>
      <c r="B6" t="s">
        <v>25</v>
      </c>
      <c r="C6" t="s">
        <v>21</v>
      </c>
      <c r="D6" s="2">
        <v>46071</v>
      </c>
      <c r="E6" s="2">
        <v>46071</v>
      </c>
      <c r="F6">
        <v>45</v>
      </c>
      <c r="G6">
        <v>25</v>
      </c>
      <c r="H6" t="s">
        <v>12</v>
      </c>
      <c r="I6" t="s">
        <v>13</v>
      </c>
      <c r="J6" t="str">
        <f>_xlfn.XLOOKUP(B6,'Restaurant Details'!$A$2:$A$13,'Restaurant Details'!$B$2:$B$13,"Not Found")</f>
        <v>Curry Culture</v>
      </c>
      <c r="K6" t="str">
        <f t="shared" si="0"/>
        <v>Wednesday</v>
      </c>
    </row>
    <row r="7" spans="1:11" x14ac:dyDescent="0.3">
      <c r="A7" t="s">
        <v>26</v>
      </c>
      <c r="B7" t="s">
        <v>27</v>
      </c>
      <c r="C7" t="s">
        <v>28</v>
      </c>
      <c r="D7" s="2">
        <v>46078</v>
      </c>
      <c r="E7" s="2">
        <v>46078</v>
      </c>
      <c r="F7">
        <v>51</v>
      </c>
      <c r="G7">
        <v>30</v>
      </c>
      <c r="H7" t="s">
        <v>29</v>
      </c>
      <c r="I7" t="s">
        <v>13</v>
      </c>
      <c r="J7" t="str">
        <f>_xlfn.XLOOKUP(B7,'Restaurant Details'!$A$2:$A$13,'Restaurant Details'!$B$2:$B$13,"Not Found")</f>
        <v>Urban Tadka</v>
      </c>
      <c r="K7" t="str">
        <f t="shared" si="0"/>
        <v>Wednesday</v>
      </c>
    </row>
    <row r="8" spans="1:11" x14ac:dyDescent="0.3">
      <c r="A8" t="s">
        <v>30</v>
      </c>
      <c r="B8" t="s">
        <v>20</v>
      </c>
      <c r="C8" t="s">
        <v>21</v>
      </c>
      <c r="D8" s="2">
        <v>46058</v>
      </c>
      <c r="E8" s="2">
        <v>46059</v>
      </c>
      <c r="F8">
        <v>33</v>
      </c>
      <c r="G8">
        <v>50</v>
      </c>
      <c r="H8" t="s">
        <v>31</v>
      </c>
      <c r="I8" t="s">
        <v>13</v>
      </c>
      <c r="J8" t="str">
        <f>_xlfn.XLOOKUP(B8,'Restaurant Details'!$A$2:$A$13,'Restaurant Details'!$B$2:$B$13,"Not Found")</f>
        <v>Burger Street</v>
      </c>
      <c r="K8" t="str">
        <f t="shared" si="0"/>
        <v>Friday</v>
      </c>
    </row>
    <row r="9" spans="1:11" x14ac:dyDescent="0.3">
      <c r="A9" t="s">
        <v>32</v>
      </c>
      <c r="B9" t="s">
        <v>33</v>
      </c>
      <c r="C9" t="s">
        <v>11</v>
      </c>
      <c r="D9" s="2">
        <v>46031</v>
      </c>
      <c r="E9" s="2">
        <v>46032</v>
      </c>
      <c r="F9">
        <v>35</v>
      </c>
      <c r="G9">
        <v>50</v>
      </c>
      <c r="H9" t="s">
        <v>22</v>
      </c>
      <c r="I9" t="s">
        <v>18</v>
      </c>
      <c r="J9" t="str">
        <f>_xlfn.XLOOKUP(B9,'Restaurant Details'!$A$2:$A$13,'Restaurant Details'!$B$2:$B$13,"Not Found")</f>
        <v>Biryani House</v>
      </c>
      <c r="K9" t="str">
        <f t="shared" si="0"/>
        <v>Saturday</v>
      </c>
    </row>
    <row r="10" spans="1:11" x14ac:dyDescent="0.3">
      <c r="A10" t="s">
        <v>34</v>
      </c>
      <c r="B10" t="s">
        <v>35</v>
      </c>
      <c r="C10" t="s">
        <v>36</v>
      </c>
      <c r="D10" s="2">
        <v>46031</v>
      </c>
      <c r="E10" s="2">
        <v>46031</v>
      </c>
      <c r="F10">
        <v>57</v>
      </c>
      <c r="G10">
        <v>40</v>
      </c>
      <c r="H10" t="s">
        <v>29</v>
      </c>
      <c r="I10" t="s">
        <v>13</v>
      </c>
      <c r="J10" t="str">
        <f>_xlfn.XLOOKUP(B10,'Restaurant Details'!$A$2:$A$13,'Restaurant Details'!$B$2:$B$13,"Not Found")</f>
        <v>Chaat Corner</v>
      </c>
      <c r="K10" t="str">
        <f t="shared" si="0"/>
        <v>Friday</v>
      </c>
    </row>
    <row r="11" spans="1:11" x14ac:dyDescent="0.3">
      <c r="A11" t="s">
        <v>37</v>
      </c>
      <c r="B11" t="s">
        <v>33</v>
      </c>
      <c r="C11" t="s">
        <v>11</v>
      </c>
      <c r="D11" s="2">
        <v>46048</v>
      </c>
      <c r="E11" s="2">
        <v>46049</v>
      </c>
      <c r="F11">
        <v>56</v>
      </c>
      <c r="G11">
        <v>40</v>
      </c>
      <c r="H11" t="s">
        <v>17</v>
      </c>
      <c r="I11" t="s">
        <v>13</v>
      </c>
      <c r="J11" t="str">
        <f>_xlfn.XLOOKUP(B11,'Restaurant Details'!$A$2:$A$13,'Restaurant Details'!$B$2:$B$13,"Not Found")</f>
        <v>Biryani House</v>
      </c>
      <c r="K11" t="str">
        <f t="shared" si="0"/>
        <v>Tuesday</v>
      </c>
    </row>
    <row r="12" spans="1:11" x14ac:dyDescent="0.3">
      <c r="A12" t="s">
        <v>38</v>
      </c>
      <c r="B12" t="s">
        <v>25</v>
      </c>
      <c r="C12" t="s">
        <v>21</v>
      </c>
      <c r="D12" s="2">
        <v>46059</v>
      </c>
      <c r="E12" s="2">
        <v>46062</v>
      </c>
      <c r="F12">
        <v>42</v>
      </c>
      <c r="G12">
        <v>40</v>
      </c>
      <c r="H12" t="s">
        <v>39</v>
      </c>
      <c r="I12" t="s">
        <v>13</v>
      </c>
      <c r="J12" t="str">
        <f>_xlfn.XLOOKUP(B12,'Restaurant Details'!$A$2:$A$13,'Restaurant Details'!$B$2:$B$13,"Not Found")</f>
        <v>Curry Culture</v>
      </c>
      <c r="K12" t="str">
        <f t="shared" si="0"/>
        <v>Monday</v>
      </c>
    </row>
    <row r="13" spans="1:11" x14ac:dyDescent="0.3">
      <c r="A13" t="s">
        <v>40</v>
      </c>
      <c r="B13" t="s">
        <v>41</v>
      </c>
      <c r="C13" t="s">
        <v>28</v>
      </c>
      <c r="D13" s="2">
        <v>46080</v>
      </c>
      <c r="E13" s="2">
        <v>46080</v>
      </c>
      <c r="F13">
        <v>32</v>
      </c>
      <c r="G13">
        <v>50</v>
      </c>
      <c r="H13" t="s">
        <v>22</v>
      </c>
      <c r="I13" t="s">
        <v>13</v>
      </c>
      <c r="J13" t="str">
        <f>_xlfn.XLOOKUP(B13,'Restaurant Details'!$A$2:$A$13,'Restaurant Details'!$B$2:$B$13,"Not Found")</f>
        <v>Spice Hub</v>
      </c>
      <c r="K13" t="str">
        <f t="shared" si="0"/>
        <v>Friday</v>
      </c>
    </row>
    <row r="14" spans="1:11" x14ac:dyDescent="0.3">
      <c r="A14" t="s">
        <v>42</v>
      </c>
      <c r="B14" t="s">
        <v>41</v>
      </c>
      <c r="C14" t="s">
        <v>28</v>
      </c>
      <c r="D14" s="2">
        <v>46058</v>
      </c>
      <c r="E14" s="2">
        <v>46058</v>
      </c>
      <c r="F14">
        <v>57</v>
      </c>
      <c r="G14">
        <v>45</v>
      </c>
      <c r="H14" t="s">
        <v>22</v>
      </c>
      <c r="I14" t="s">
        <v>18</v>
      </c>
      <c r="J14" t="str">
        <f>_xlfn.XLOOKUP(B14,'Restaurant Details'!$A$2:$A$13,'Restaurant Details'!$B$2:$B$13,"Not Found")</f>
        <v>Spice Hub</v>
      </c>
      <c r="K14" t="str">
        <f t="shared" si="0"/>
        <v>Thursday</v>
      </c>
    </row>
    <row r="15" spans="1:11" x14ac:dyDescent="0.3">
      <c r="A15" t="s">
        <v>43</v>
      </c>
      <c r="B15" t="s">
        <v>33</v>
      </c>
      <c r="C15" t="s">
        <v>11</v>
      </c>
      <c r="D15" s="2">
        <v>46063</v>
      </c>
      <c r="E15" s="2">
        <v>46065</v>
      </c>
      <c r="F15">
        <v>57</v>
      </c>
      <c r="G15">
        <v>45</v>
      </c>
      <c r="H15" t="s">
        <v>31</v>
      </c>
      <c r="I15" t="s">
        <v>13</v>
      </c>
      <c r="J15" t="str">
        <f>_xlfn.XLOOKUP(B15,'Restaurant Details'!$A$2:$A$13,'Restaurant Details'!$B$2:$B$13,"Not Found")</f>
        <v>Biryani House</v>
      </c>
      <c r="K15" t="str">
        <f t="shared" si="0"/>
        <v>Thursday</v>
      </c>
    </row>
    <row r="16" spans="1:11" x14ac:dyDescent="0.3">
      <c r="A16" t="s">
        <v>44</v>
      </c>
      <c r="B16" t="s">
        <v>45</v>
      </c>
      <c r="C16" t="s">
        <v>36</v>
      </c>
      <c r="D16" s="2">
        <v>46037</v>
      </c>
      <c r="E16" s="2">
        <v>46039</v>
      </c>
      <c r="F16">
        <v>43</v>
      </c>
      <c r="G16">
        <v>35</v>
      </c>
      <c r="H16" t="s">
        <v>29</v>
      </c>
      <c r="I16" t="s">
        <v>13</v>
      </c>
      <c r="J16" t="str">
        <f>_xlfn.XLOOKUP(B16,'Restaurant Details'!$A$2:$A$13,'Restaurant Details'!$B$2:$B$13,"Not Found")</f>
        <v>Royal Thali</v>
      </c>
      <c r="K16" t="str">
        <f t="shared" si="0"/>
        <v>Saturday</v>
      </c>
    </row>
    <row r="17" spans="1:11" x14ac:dyDescent="0.3">
      <c r="A17" t="s">
        <v>46</v>
      </c>
      <c r="B17" t="s">
        <v>33</v>
      </c>
      <c r="C17" t="s">
        <v>11</v>
      </c>
      <c r="D17" s="2">
        <v>46033</v>
      </c>
      <c r="E17" s="2">
        <v>46034</v>
      </c>
      <c r="F17">
        <v>26</v>
      </c>
      <c r="G17">
        <v>60</v>
      </c>
      <c r="H17" t="s">
        <v>12</v>
      </c>
      <c r="I17" t="s">
        <v>13</v>
      </c>
      <c r="J17" t="str">
        <f>_xlfn.XLOOKUP(B17,'Restaurant Details'!$A$2:$A$13,'Restaurant Details'!$B$2:$B$13,"Not Found")</f>
        <v>Biryani House</v>
      </c>
      <c r="K17" t="str">
        <f t="shared" si="0"/>
        <v>Monday</v>
      </c>
    </row>
    <row r="18" spans="1:11" x14ac:dyDescent="0.3">
      <c r="A18" t="s">
        <v>47</v>
      </c>
      <c r="B18" t="s">
        <v>48</v>
      </c>
      <c r="C18" t="s">
        <v>49</v>
      </c>
      <c r="D18" s="2">
        <v>46037</v>
      </c>
      <c r="E18" s="2">
        <v>46037</v>
      </c>
      <c r="F18">
        <v>55</v>
      </c>
      <c r="G18">
        <v>50</v>
      </c>
      <c r="H18" t="s">
        <v>12</v>
      </c>
      <c r="I18" t="s">
        <v>13</v>
      </c>
      <c r="J18" t="str">
        <f>_xlfn.XLOOKUP(B18,'Restaurant Details'!$A$2:$A$13,'Restaurant Details'!$B$2:$B$13,"Not Found")</f>
        <v>South Express</v>
      </c>
      <c r="K18" t="str">
        <f t="shared" si="0"/>
        <v>Thursday</v>
      </c>
    </row>
    <row r="19" spans="1:11" x14ac:dyDescent="0.3">
      <c r="A19" t="s">
        <v>50</v>
      </c>
      <c r="B19" t="s">
        <v>10</v>
      </c>
      <c r="C19" t="s">
        <v>11</v>
      </c>
      <c r="D19" s="2">
        <v>46074</v>
      </c>
      <c r="E19" s="2">
        <v>46074</v>
      </c>
      <c r="F19">
        <v>44</v>
      </c>
      <c r="G19">
        <v>40</v>
      </c>
      <c r="H19" t="s">
        <v>29</v>
      </c>
      <c r="I19" t="s">
        <v>13</v>
      </c>
      <c r="J19" t="str">
        <f>_xlfn.XLOOKUP(B19,'Restaurant Details'!$A$2:$A$13,'Restaurant Details'!$B$2:$B$13,"Not Found")</f>
        <v>Pizza Point</v>
      </c>
      <c r="K19" t="str">
        <f t="shared" si="0"/>
        <v>Saturday</v>
      </c>
    </row>
    <row r="20" spans="1:11" x14ac:dyDescent="0.3">
      <c r="A20" t="s">
        <v>51</v>
      </c>
      <c r="B20" t="s">
        <v>45</v>
      </c>
      <c r="C20" t="s">
        <v>36</v>
      </c>
      <c r="D20" s="2">
        <v>46042</v>
      </c>
      <c r="E20" s="2">
        <v>46043</v>
      </c>
      <c r="F20">
        <v>32</v>
      </c>
      <c r="G20">
        <v>45</v>
      </c>
      <c r="H20" t="s">
        <v>31</v>
      </c>
      <c r="I20" t="s">
        <v>13</v>
      </c>
      <c r="J20" t="str">
        <f>_xlfn.XLOOKUP(B20,'Restaurant Details'!$A$2:$A$13,'Restaurant Details'!$B$2:$B$13,"Not Found")</f>
        <v>Royal Thali</v>
      </c>
      <c r="K20" t="str">
        <f t="shared" si="0"/>
        <v>Wednesday</v>
      </c>
    </row>
    <row r="21" spans="1:11" x14ac:dyDescent="0.3">
      <c r="A21" t="s">
        <v>52</v>
      </c>
      <c r="B21" t="s">
        <v>20</v>
      </c>
      <c r="C21" t="s">
        <v>21</v>
      </c>
      <c r="D21" s="2">
        <v>46076</v>
      </c>
      <c r="E21" s="2">
        <v>46079</v>
      </c>
      <c r="F21">
        <v>25</v>
      </c>
      <c r="G21">
        <v>60</v>
      </c>
      <c r="H21" t="s">
        <v>17</v>
      </c>
      <c r="I21" t="s">
        <v>13</v>
      </c>
      <c r="J21" t="str">
        <f>_xlfn.XLOOKUP(B21,'Restaurant Details'!$A$2:$A$13,'Restaurant Details'!$B$2:$B$13,"Not Found")</f>
        <v>Burger Street</v>
      </c>
      <c r="K21" t="str">
        <f t="shared" si="0"/>
        <v>Thursday</v>
      </c>
    </row>
    <row r="22" spans="1:11" x14ac:dyDescent="0.3">
      <c r="A22" t="s">
        <v>53</v>
      </c>
      <c r="B22" t="s">
        <v>54</v>
      </c>
      <c r="C22" t="s">
        <v>49</v>
      </c>
      <c r="D22" s="2">
        <v>46069</v>
      </c>
      <c r="E22" s="2">
        <v>46071</v>
      </c>
      <c r="F22">
        <v>24</v>
      </c>
      <c r="G22">
        <v>40</v>
      </c>
      <c r="H22" t="s">
        <v>12</v>
      </c>
      <c r="I22" t="s">
        <v>13</v>
      </c>
      <c r="J22" t="str">
        <f>_xlfn.XLOOKUP(B22,'Restaurant Details'!$A$2:$A$13,'Restaurant Details'!$B$2:$B$13,"Not Found")</f>
        <v>Green Bowl</v>
      </c>
      <c r="K22" t="str">
        <f t="shared" si="0"/>
        <v>Wednesday</v>
      </c>
    </row>
    <row r="23" spans="1:11" x14ac:dyDescent="0.3">
      <c r="A23" t="s">
        <v>55</v>
      </c>
      <c r="B23" t="s">
        <v>20</v>
      </c>
      <c r="C23" t="s">
        <v>21</v>
      </c>
      <c r="D23" s="2">
        <v>46031</v>
      </c>
      <c r="E23" s="2">
        <v>46033</v>
      </c>
      <c r="F23">
        <v>31</v>
      </c>
      <c r="G23">
        <v>30</v>
      </c>
      <c r="H23" t="s">
        <v>22</v>
      </c>
      <c r="I23" t="s">
        <v>13</v>
      </c>
      <c r="J23" t="str">
        <f>_xlfn.XLOOKUP(B23,'Restaurant Details'!$A$2:$A$13,'Restaurant Details'!$B$2:$B$13,"Not Found")</f>
        <v>Burger Street</v>
      </c>
      <c r="K23" t="str">
        <f t="shared" si="0"/>
        <v>Sunday</v>
      </c>
    </row>
    <row r="24" spans="1:11" x14ac:dyDescent="0.3">
      <c r="A24" t="s">
        <v>56</v>
      </c>
      <c r="B24" t="s">
        <v>41</v>
      </c>
      <c r="C24" t="s">
        <v>28</v>
      </c>
      <c r="D24" s="2">
        <v>46043</v>
      </c>
      <c r="E24" s="2">
        <v>46044</v>
      </c>
      <c r="F24">
        <v>55</v>
      </c>
      <c r="G24">
        <v>50</v>
      </c>
      <c r="H24" t="s">
        <v>39</v>
      </c>
      <c r="I24" t="s">
        <v>13</v>
      </c>
      <c r="J24" t="str">
        <f>_xlfn.XLOOKUP(B24,'Restaurant Details'!$A$2:$A$13,'Restaurant Details'!$B$2:$B$13,"Not Found")</f>
        <v>Spice Hub</v>
      </c>
      <c r="K24" t="str">
        <f t="shared" si="0"/>
        <v>Thursday</v>
      </c>
    </row>
    <row r="25" spans="1:11" x14ac:dyDescent="0.3">
      <c r="A25" t="s">
        <v>57</v>
      </c>
      <c r="B25" t="s">
        <v>33</v>
      </c>
      <c r="C25" t="s">
        <v>11</v>
      </c>
      <c r="D25" s="2">
        <v>46080</v>
      </c>
      <c r="E25" s="2">
        <v>46082</v>
      </c>
      <c r="F25">
        <v>31</v>
      </c>
      <c r="G25">
        <v>35</v>
      </c>
      <c r="H25" t="s">
        <v>29</v>
      </c>
      <c r="I25" t="s">
        <v>13</v>
      </c>
      <c r="J25" t="str">
        <f>_xlfn.XLOOKUP(B25,'Restaurant Details'!$A$2:$A$13,'Restaurant Details'!$B$2:$B$13,"Not Found")</f>
        <v>Biryani House</v>
      </c>
      <c r="K25" t="str">
        <f t="shared" si="0"/>
        <v>Sunday</v>
      </c>
    </row>
    <row r="26" spans="1:11" x14ac:dyDescent="0.3">
      <c r="A26" t="s">
        <v>58</v>
      </c>
      <c r="B26" t="s">
        <v>25</v>
      </c>
      <c r="C26" t="s">
        <v>21</v>
      </c>
      <c r="D26" s="2">
        <v>46064</v>
      </c>
      <c r="E26" s="2">
        <v>46067</v>
      </c>
      <c r="F26">
        <v>41</v>
      </c>
      <c r="G26">
        <v>30</v>
      </c>
      <c r="H26" t="s">
        <v>29</v>
      </c>
      <c r="I26" t="s">
        <v>18</v>
      </c>
      <c r="J26" t="str">
        <f>_xlfn.XLOOKUP(B26,'Restaurant Details'!$A$2:$A$13,'Restaurant Details'!$B$2:$B$13,"Not Found")</f>
        <v>Curry Culture</v>
      </c>
      <c r="K26" t="str">
        <f t="shared" si="0"/>
        <v>Saturday</v>
      </c>
    </row>
    <row r="27" spans="1:11" x14ac:dyDescent="0.3">
      <c r="A27" t="s">
        <v>59</v>
      </c>
      <c r="B27" t="s">
        <v>54</v>
      </c>
      <c r="C27" t="s">
        <v>49</v>
      </c>
      <c r="D27" s="2">
        <v>46035</v>
      </c>
      <c r="E27" s="2">
        <v>46035</v>
      </c>
      <c r="F27">
        <v>46</v>
      </c>
      <c r="G27">
        <v>50</v>
      </c>
      <c r="H27" t="s">
        <v>12</v>
      </c>
      <c r="I27" t="s">
        <v>13</v>
      </c>
      <c r="J27" t="str">
        <f>_xlfn.XLOOKUP(B27,'Restaurant Details'!$A$2:$A$13,'Restaurant Details'!$B$2:$B$13,"Not Found")</f>
        <v>Green Bowl</v>
      </c>
      <c r="K27" t="str">
        <f t="shared" si="0"/>
        <v>Tuesday</v>
      </c>
    </row>
    <row r="28" spans="1:11" x14ac:dyDescent="0.3">
      <c r="A28" t="s">
        <v>60</v>
      </c>
      <c r="B28" t="s">
        <v>54</v>
      </c>
      <c r="C28" t="s">
        <v>49</v>
      </c>
      <c r="D28" s="2">
        <v>46064</v>
      </c>
      <c r="E28" s="2">
        <v>46066</v>
      </c>
      <c r="F28">
        <v>37</v>
      </c>
      <c r="G28">
        <v>60</v>
      </c>
      <c r="H28" t="s">
        <v>29</v>
      </c>
      <c r="I28" t="s">
        <v>13</v>
      </c>
      <c r="J28" t="str">
        <f>_xlfn.XLOOKUP(B28,'Restaurant Details'!$A$2:$A$13,'Restaurant Details'!$B$2:$B$13,"Not Found")</f>
        <v>Green Bowl</v>
      </c>
      <c r="K28" t="str">
        <f t="shared" si="0"/>
        <v>Friday</v>
      </c>
    </row>
    <row r="29" spans="1:11" x14ac:dyDescent="0.3">
      <c r="A29" t="s">
        <v>61</v>
      </c>
      <c r="B29" t="s">
        <v>54</v>
      </c>
      <c r="C29" t="s">
        <v>49</v>
      </c>
      <c r="D29" s="2">
        <v>46070</v>
      </c>
      <c r="E29" s="2">
        <v>46073</v>
      </c>
      <c r="F29">
        <v>30</v>
      </c>
      <c r="G29">
        <v>30</v>
      </c>
      <c r="H29" t="s">
        <v>12</v>
      </c>
      <c r="I29" t="s">
        <v>13</v>
      </c>
      <c r="J29" t="str">
        <f>_xlfn.XLOOKUP(B29,'Restaurant Details'!$A$2:$A$13,'Restaurant Details'!$B$2:$B$13,"Not Found")</f>
        <v>Green Bowl</v>
      </c>
      <c r="K29" t="str">
        <f t="shared" si="0"/>
        <v>Friday</v>
      </c>
    </row>
    <row r="30" spans="1:11" x14ac:dyDescent="0.3">
      <c r="A30" t="s">
        <v>62</v>
      </c>
      <c r="B30" t="s">
        <v>20</v>
      </c>
      <c r="C30" t="s">
        <v>21</v>
      </c>
      <c r="D30" s="2">
        <v>46033</v>
      </c>
      <c r="E30" s="2">
        <v>46034</v>
      </c>
      <c r="F30">
        <v>23</v>
      </c>
      <c r="G30">
        <v>50</v>
      </c>
      <c r="H30" t="s">
        <v>39</v>
      </c>
      <c r="I30" t="s">
        <v>13</v>
      </c>
      <c r="J30" t="str">
        <f>_xlfn.XLOOKUP(B30,'Restaurant Details'!$A$2:$A$13,'Restaurant Details'!$B$2:$B$13,"Not Found")</f>
        <v>Burger Street</v>
      </c>
      <c r="K30" t="str">
        <f t="shared" si="0"/>
        <v>Monday</v>
      </c>
    </row>
    <row r="31" spans="1:11" x14ac:dyDescent="0.3">
      <c r="A31" t="s">
        <v>63</v>
      </c>
      <c r="B31" t="s">
        <v>27</v>
      </c>
      <c r="C31" t="s">
        <v>28</v>
      </c>
      <c r="D31" s="2">
        <v>46082</v>
      </c>
      <c r="E31" s="2">
        <v>46082</v>
      </c>
      <c r="F31">
        <v>40</v>
      </c>
      <c r="G31">
        <v>30</v>
      </c>
      <c r="H31" t="s">
        <v>17</v>
      </c>
      <c r="I31" t="s">
        <v>18</v>
      </c>
      <c r="J31" t="str">
        <f>_xlfn.XLOOKUP(B31,'Restaurant Details'!$A$2:$A$13,'Restaurant Details'!$B$2:$B$13,"Not Found")</f>
        <v>Urban Tadka</v>
      </c>
      <c r="K31" t="str">
        <f t="shared" si="0"/>
        <v>Sunday</v>
      </c>
    </row>
    <row r="32" spans="1:11" x14ac:dyDescent="0.3">
      <c r="A32" t="s">
        <v>64</v>
      </c>
      <c r="B32" t="s">
        <v>48</v>
      </c>
      <c r="C32" t="s">
        <v>49</v>
      </c>
      <c r="D32" s="2">
        <v>46052</v>
      </c>
      <c r="E32" s="2">
        <v>46055</v>
      </c>
      <c r="F32">
        <v>36</v>
      </c>
      <c r="G32">
        <v>45</v>
      </c>
      <c r="H32" t="s">
        <v>12</v>
      </c>
      <c r="I32" t="s">
        <v>13</v>
      </c>
      <c r="J32" t="str">
        <f>_xlfn.XLOOKUP(B32,'Restaurant Details'!$A$2:$A$13,'Restaurant Details'!$B$2:$B$13,"Not Found")</f>
        <v>South Express</v>
      </c>
      <c r="K32" t="str">
        <f t="shared" si="0"/>
        <v>Monday</v>
      </c>
    </row>
    <row r="33" spans="1:11" x14ac:dyDescent="0.3">
      <c r="A33" t="s">
        <v>65</v>
      </c>
      <c r="B33" t="s">
        <v>10</v>
      </c>
      <c r="C33" t="s">
        <v>11</v>
      </c>
      <c r="D33" s="2">
        <v>46081</v>
      </c>
      <c r="E33" s="2">
        <v>46084</v>
      </c>
      <c r="F33">
        <v>34</v>
      </c>
      <c r="G33">
        <v>50</v>
      </c>
      <c r="H33" t="s">
        <v>22</v>
      </c>
      <c r="I33" t="s">
        <v>18</v>
      </c>
      <c r="J33" t="str">
        <f>_xlfn.XLOOKUP(B33,'Restaurant Details'!$A$2:$A$13,'Restaurant Details'!$B$2:$B$13,"Not Found")</f>
        <v>Pizza Point</v>
      </c>
      <c r="K33" t="str">
        <f t="shared" si="0"/>
        <v>Tuesday</v>
      </c>
    </row>
    <row r="34" spans="1:11" x14ac:dyDescent="0.3">
      <c r="A34" t="s">
        <v>66</v>
      </c>
      <c r="B34" t="s">
        <v>41</v>
      </c>
      <c r="C34" t="s">
        <v>28</v>
      </c>
      <c r="D34" s="2">
        <v>46065</v>
      </c>
      <c r="E34" s="2">
        <v>46065</v>
      </c>
      <c r="F34">
        <v>22</v>
      </c>
      <c r="G34">
        <v>40</v>
      </c>
      <c r="H34" t="s">
        <v>39</v>
      </c>
      <c r="I34" t="s">
        <v>13</v>
      </c>
      <c r="J34" t="str">
        <f>_xlfn.XLOOKUP(B34,'Restaurant Details'!$A$2:$A$13,'Restaurant Details'!$B$2:$B$13,"Not Found")</f>
        <v>Spice Hub</v>
      </c>
      <c r="K34" t="str">
        <f t="shared" ref="K34:K61" si="1">TEXT(E34,"dddd")</f>
        <v>Thursday</v>
      </c>
    </row>
    <row r="35" spans="1:11" x14ac:dyDescent="0.3">
      <c r="A35" t="s">
        <v>67</v>
      </c>
      <c r="B35" t="s">
        <v>20</v>
      </c>
      <c r="C35" t="s">
        <v>21</v>
      </c>
      <c r="D35" s="2">
        <v>46075</v>
      </c>
      <c r="E35" s="2">
        <v>46076</v>
      </c>
      <c r="F35">
        <v>36</v>
      </c>
      <c r="G35">
        <v>35</v>
      </c>
      <c r="H35" t="s">
        <v>22</v>
      </c>
      <c r="I35" t="s">
        <v>18</v>
      </c>
      <c r="J35" t="str">
        <f>_xlfn.XLOOKUP(B35,'Restaurant Details'!$A$2:$A$13,'Restaurant Details'!$B$2:$B$13,"Not Found")</f>
        <v>Burger Street</v>
      </c>
      <c r="K35" t="str">
        <f t="shared" si="1"/>
        <v>Monday</v>
      </c>
    </row>
    <row r="36" spans="1:11" x14ac:dyDescent="0.3">
      <c r="A36" t="s">
        <v>68</v>
      </c>
      <c r="B36" t="s">
        <v>48</v>
      </c>
      <c r="C36" t="s">
        <v>49</v>
      </c>
      <c r="D36" s="2">
        <v>46074</v>
      </c>
      <c r="E36" s="2">
        <v>46074</v>
      </c>
      <c r="F36">
        <v>37</v>
      </c>
      <c r="G36">
        <v>40</v>
      </c>
      <c r="H36" t="s">
        <v>12</v>
      </c>
      <c r="I36" t="s">
        <v>13</v>
      </c>
      <c r="J36" t="str">
        <f>_xlfn.XLOOKUP(B36,'Restaurant Details'!$A$2:$A$13,'Restaurant Details'!$B$2:$B$13,"Not Found")</f>
        <v>South Express</v>
      </c>
      <c r="K36" t="str">
        <f t="shared" si="1"/>
        <v>Saturday</v>
      </c>
    </row>
    <row r="37" spans="1:11" x14ac:dyDescent="0.3">
      <c r="A37" t="s">
        <v>69</v>
      </c>
      <c r="B37" t="s">
        <v>35</v>
      </c>
      <c r="C37" t="s">
        <v>36</v>
      </c>
      <c r="D37" s="2">
        <v>46045</v>
      </c>
      <c r="E37" s="2">
        <v>46048</v>
      </c>
      <c r="F37">
        <v>58</v>
      </c>
      <c r="G37">
        <v>25</v>
      </c>
      <c r="H37" t="s">
        <v>29</v>
      </c>
      <c r="I37" t="s">
        <v>18</v>
      </c>
      <c r="J37" t="str">
        <f>_xlfn.XLOOKUP(B37,'Restaurant Details'!$A$2:$A$13,'Restaurant Details'!$B$2:$B$13,"Not Found")</f>
        <v>Chaat Corner</v>
      </c>
      <c r="K37" t="str">
        <f t="shared" si="1"/>
        <v>Monday</v>
      </c>
    </row>
    <row r="38" spans="1:11" x14ac:dyDescent="0.3">
      <c r="A38" t="s">
        <v>70</v>
      </c>
      <c r="B38" t="s">
        <v>41</v>
      </c>
      <c r="C38" t="s">
        <v>28</v>
      </c>
      <c r="D38" s="2">
        <v>46059</v>
      </c>
      <c r="E38" s="2">
        <v>46061</v>
      </c>
      <c r="F38">
        <v>55</v>
      </c>
      <c r="G38">
        <v>35</v>
      </c>
      <c r="H38" t="s">
        <v>17</v>
      </c>
      <c r="I38" t="s">
        <v>18</v>
      </c>
      <c r="J38" t="str">
        <f>_xlfn.XLOOKUP(B38,'Restaurant Details'!$A$2:$A$13,'Restaurant Details'!$B$2:$B$13,"Not Found")</f>
        <v>Spice Hub</v>
      </c>
      <c r="K38" t="str">
        <f t="shared" si="1"/>
        <v>Sunday</v>
      </c>
    </row>
    <row r="39" spans="1:11" x14ac:dyDescent="0.3">
      <c r="A39" t="s">
        <v>71</v>
      </c>
      <c r="B39" t="s">
        <v>15</v>
      </c>
      <c r="C39" t="s">
        <v>16</v>
      </c>
      <c r="D39" s="2">
        <v>46075</v>
      </c>
      <c r="E39" s="2">
        <v>46076</v>
      </c>
      <c r="F39">
        <v>26</v>
      </c>
      <c r="G39">
        <v>45</v>
      </c>
      <c r="H39" t="s">
        <v>17</v>
      </c>
      <c r="I39" t="s">
        <v>13</v>
      </c>
      <c r="J39" t="str">
        <f>_xlfn.XLOOKUP(B39,'Restaurant Details'!$A$2:$A$13,'Restaurant Details'!$B$2:$B$13,"Not Found")</f>
        <v>The Dosa Cafe</v>
      </c>
      <c r="K39" t="str">
        <f t="shared" si="1"/>
        <v>Monday</v>
      </c>
    </row>
    <row r="40" spans="1:11" x14ac:dyDescent="0.3">
      <c r="A40" t="s">
        <v>72</v>
      </c>
      <c r="B40" t="s">
        <v>48</v>
      </c>
      <c r="C40" t="s">
        <v>49</v>
      </c>
      <c r="D40" s="2">
        <v>46031</v>
      </c>
      <c r="E40" s="2">
        <v>46033</v>
      </c>
      <c r="F40">
        <v>48</v>
      </c>
      <c r="G40">
        <v>25</v>
      </c>
      <c r="H40" t="s">
        <v>31</v>
      </c>
      <c r="I40" t="s">
        <v>13</v>
      </c>
      <c r="J40" t="str">
        <f>_xlfn.XLOOKUP(B40,'Restaurant Details'!$A$2:$A$13,'Restaurant Details'!$B$2:$B$13,"Not Found")</f>
        <v>South Express</v>
      </c>
      <c r="K40" t="str">
        <f t="shared" si="1"/>
        <v>Sunday</v>
      </c>
    </row>
    <row r="41" spans="1:11" x14ac:dyDescent="0.3">
      <c r="A41" t="s">
        <v>73</v>
      </c>
      <c r="B41" t="s">
        <v>45</v>
      </c>
      <c r="C41" t="s">
        <v>36</v>
      </c>
      <c r="D41" s="2">
        <v>46079</v>
      </c>
      <c r="E41" s="2">
        <v>46082</v>
      </c>
      <c r="F41">
        <v>54</v>
      </c>
      <c r="G41">
        <v>45</v>
      </c>
      <c r="H41" t="s">
        <v>31</v>
      </c>
      <c r="I41" t="s">
        <v>13</v>
      </c>
      <c r="J41" t="str">
        <f>_xlfn.XLOOKUP(B41,'Restaurant Details'!$A$2:$A$13,'Restaurant Details'!$B$2:$B$13,"Not Found")</f>
        <v>Royal Thali</v>
      </c>
      <c r="K41" t="str">
        <f t="shared" si="1"/>
        <v>Sunday</v>
      </c>
    </row>
    <row r="42" spans="1:11" x14ac:dyDescent="0.3">
      <c r="A42" t="s">
        <v>74</v>
      </c>
      <c r="B42" t="s">
        <v>25</v>
      </c>
      <c r="C42" t="s">
        <v>21</v>
      </c>
      <c r="D42" s="2">
        <v>46060</v>
      </c>
      <c r="E42" s="2">
        <v>46063</v>
      </c>
      <c r="F42">
        <v>47</v>
      </c>
      <c r="G42">
        <v>25</v>
      </c>
      <c r="H42" t="s">
        <v>12</v>
      </c>
      <c r="I42" t="s">
        <v>13</v>
      </c>
      <c r="J42" t="str">
        <f>_xlfn.XLOOKUP(B42,'Restaurant Details'!$A$2:$A$13,'Restaurant Details'!$B$2:$B$13,"Not Found")</f>
        <v>Curry Culture</v>
      </c>
      <c r="K42" t="str">
        <f t="shared" si="1"/>
        <v>Tuesday</v>
      </c>
    </row>
    <row r="43" spans="1:11" x14ac:dyDescent="0.3">
      <c r="A43" t="s">
        <v>75</v>
      </c>
      <c r="B43" t="s">
        <v>41</v>
      </c>
      <c r="C43" t="s">
        <v>28</v>
      </c>
      <c r="D43" s="2">
        <v>46069</v>
      </c>
      <c r="E43" s="2">
        <v>46072</v>
      </c>
      <c r="F43">
        <v>24</v>
      </c>
      <c r="G43">
        <v>30</v>
      </c>
      <c r="H43" t="s">
        <v>17</v>
      </c>
      <c r="I43" t="s">
        <v>18</v>
      </c>
      <c r="J43" t="str">
        <f>_xlfn.XLOOKUP(B43,'Restaurant Details'!$A$2:$A$13,'Restaurant Details'!$B$2:$B$13,"Not Found")</f>
        <v>Spice Hub</v>
      </c>
      <c r="K43" t="str">
        <f t="shared" si="1"/>
        <v>Thursday</v>
      </c>
    </row>
    <row r="44" spans="1:11" x14ac:dyDescent="0.3">
      <c r="A44" t="s">
        <v>76</v>
      </c>
      <c r="B44" t="s">
        <v>20</v>
      </c>
      <c r="C44" t="s">
        <v>21</v>
      </c>
      <c r="D44" s="2">
        <v>46073</v>
      </c>
      <c r="E44" s="2">
        <v>46076</v>
      </c>
      <c r="F44">
        <v>51</v>
      </c>
      <c r="G44">
        <v>60</v>
      </c>
      <c r="H44" t="s">
        <v>12</v>
      </c>
      <c r="I44" t="s">
        <v>13</v>
      </c>
      <c r="J44" t="str">
        <f>_xlfn.XLOOKUP(B44,'Restaurant Details'!$A$2:$A$13,'Restaurant Details'!$B$2:$B$13,"Not Found")</f>
        <v>Burger Street</v>
      </c>
      <c r="K44" t="str">
        <f t="shared" si="1"/>
        <v>Monday</v>
      </c>
    </row>
    <row r="45" spans="1:11" x14ac:dyDescent="0.3">
      <c r="A45" t="s">
        <v>77</v>
      </c>
      <c r="B45" t="s">
        <v>20</v>
      </c>
      <c r="C45" t="s">
        <v>21</v>
      </c>
      <c r="D45" s="2">
        <v>46047</v>
      </c>
      <c r="E45" s="2">
        <v>46050</v>
      </c>
      <c r="F45">
        <v>36</v>
      </c>
      <c r="G45">
        <v>50</v>
      </c>
      <c r="H45" t="s">
        <v>22</v>
      </c>
      <c r="I45" t="s">
        <v>13</v>
      </c>
      <c r="J45" t="str">
        <f>_xlfn.XLOOKUP(B45,'Restaurant Details'!$A$2:$A$13,'Restaurant Details'!$B$2:$B$13,"Not Found")</f>
        <v>Burger Street</v>
      </c>
      <c r="K45" t="str">
        <f t="shared" si="1"/>
        <v>Wednesday</v>
      </c>
    </row>
    <row r="46" spans="1:11" x14ac:dyDescent="0.3">
      <c r="A46" t="s">
        <v>78</v>
      </c>
      <c r="B46" t="s">
        <v>41</v>
      </c>
      <c r="C46" t="s">
        <v>28</v>
      </c>
      <c r="D46" s="2">
        <v>46057</v>
      </c>
      <c r="E46" s="2">
        <v>46058</v>
      </c>
      <c r="F46">
        <v>53</v>
      </c>
      <c r="G46">
        <v>35</v>
      </c>
      <c r="H46" t="s">
        <v>22</v>
      </c>
      <c r="I46" t="s">
        <v>18</v>
      </c>
      <c r="J46" t="str">
        <f>_xlfn.XLOOKUP(B46,'Restaurant Details'!$A$2:$A$13,'Restaurant Details'!$B$2:$B$13,"Not Found")</f>
        <v>Spice Hub</v>
      </c>
      <c r="K46" t="str">
        <f t="shared" si="1"/>
        <v>Thursday</v>
      </c>
    </row>
    <row r="47" spans="1:11" x14ac:dyDescent="0.3">
      <c r="A47" t="s">
        <v>79</v>
      </c>
      <c r="B47" t="s">
        <v>33</v>
      </c>
      <c r="C47" t="s">
        <v>11</v>
      </c>
      <c r="D47" s="2">
        <v>46076</v>
      </c>
      <c r="E47" s="2">
        <v>46079</v>
      </c>
      <c r="F47">
        <v>38</v>
      </c>
      <c r="G47">
        <v>30</v>
      </c>
      <c r="H47" t="s">
        <v>39</v>
      </c>
      <c r="I47" t="s">
        <v>13</v>
      </c>
      <c r="J47" t="str">
        <f>_xlfn.XLOOKUP(B47,'Restaurant Details'!$A$2:$A$13,'Restaurant Details'!$B$2:$B$13,"Not Found")</f>
        <v>Biryani House</v>
      </c>
      <c r="K47" t="str">
        <f t="shared" si="1"/>
        <v>Thursday</v>
      </c>
    </row>
    <row r="48" spans="1:11" x14ac:dyDescent="0.3">
      <c r="A48" t="s">
        <v>80</v>
      </c>
      <c r="B48" t="s">
        <v>20</v>
      </c>
      <c r="C48" t="s">
        <v>21</v>
      </c>
      <c r="D48" s="2">
        <v>46046</v>
      </c>
      <c r="E48" s="2">
        <v>46049</v>
      </c>
      <c r="F48">
        <v>55</v>
      </c>
      <c r="G48">
        <v>50</v>
      </c>
      <c r="H48" t="s">
        <v>31</v>
      </c>
      <c r="I48" t="s">
        <v>13</v>
      </c>
      <c r="J48" t="str">
        <f>_xlfn.XLOOKUP(B48,'Restaurant Details'!$A$2:$A$13,'Restaurant Details'!$B$2:$B$13,"Not Found")</f>
        <v>Burger Street</v>
      </c>
      <c r="K48" t="str">
        <f t="shared" si="1"/>
        <v>Tuesday</v>
      </c>
    </row>
    <row r="49" spans="1:11" x14ac:dyDescent="0.3">
      <c r="A49" t="s">
        <v>81</v>
      </c>
      <c r="B49" t="s">
        <v>48</v>
      </c>
      <c r="C49" t="s">
        <v>49</v>
      </c>
      <c r="D49" s="2">
        <v>46039</v>
      </c>
      <c r="E49" s="2">
        <v>46041</v>
      </c>
      <c r="F49">
        <v>47</v>
      </c>
      <c r="G49">
        <v>50</v>
      </c>
      <c r="H49" t="s">
        <v>12</v>
      </c>
      <c r="I49" t="s">
        <v>13</v>
      </c>
      <c r="J49" t="str">
        <f>_xlfn.XLOOKUP(B49,'Restaurant Details'!$A$2:$A$13,'Restaurant Details'!$B$2:$B$13,"Not Found")</f>
        <v>South Express</v>
      </c>
      <c r="K49" t="str">
        <f t="shared" si="1"/>
        <v>Monday</v>
      </c>
    </row>
    <row r="50" spans="1:11" x14ac:dyDescent="0.3">
      <c r="A50" t="s">
        <v>82</v>
      </c>
      <c r="B50" t="s">
        <v>15</v>
      </c>
      <c r="C50" t="s">
        <v>16</v>
      </c>
      <c r="D50" s="2">
        <v>46038</v>
      </c>
      <c r="E50" s="2">
        <v>46038</v>
      </c>
      <c r="F50">
        <v>55</v>
      </c>
      <c r="G50">
        <v>35</v>
      </c>
      <c r="H50" t="s">
        <v>29</v>
      </c>
      <c r="I50" t="s">
        <v>13</v>
      </c>
      <c r="J50" t="str">
        <f>_xlfn.XLOOKUP(B50,'Restaurant Details'!$A$2:$A$13,'Restaurant Details'!$B$2:$B$13,"Not Found")</f>
        <v>The Dosa Cafe</v>
      </c>
      <c r="K50" t="str">
        <f t="shared" si="1"/>
        <v>Friday</v>
      </c>
    </row>
    <row r="51" spans="1:11" x14ac:dyDescent="0.3">
      <c r="A51" t="s">
        <v>83</v>
      </c>
      <c r="B51" t="s">
        <v>35</v>
      </c>
      <c r="C51" t="s">
        <v>36</v>
      </c>
      <c r="D51" s="2">
        <v>46074</v>
      </c>
      <c r="E51" s="2">
        <v>46077</v>
      </c>
      <c r="F51">
        <v>28</v>
      </c>
      <c r="G51">
        <v>30</v>
      </c>
      <c r="H51" t="s">
        <v>22</v>
      </c>
      <c r="I51" t="s">
        <v>13</v>
      </c>
      <c r="J51" t="str">
        <f>_xlfn.XLOOKUP(B51,'Restaurant Details'!$A$2:$A$13,'Restaurant Details'!$B$2:$B$13,"Not Found")</f>
        <v>Chaat Corner</v>
      </c>
      <c r="K51" t="str">
        <f t="shared" si="1"/>
        <v>Tuesday</v>
      </c>
    </row>
    <row r="52" spans="1:11" x14ac:dyDescent="0.3">
      <c r="A52" t="s">
        <v>84</v>
      </c>
      <c r="B52" t="s">
        <v>33</v>
      </c>
      <c r="C52" t="s">
        <v>11</v>
      </c>
      <c r="D52" s="2">
        <v>46070</v>
      </c>
      <c r="E52" s="2">
        <v>46072</v>
      </c>
      <c r="F52">
        <v>45</v>
      </c>
      <c r="G52">
        <v>50</v>
      </c>
      <c r="H52" t="s">
        <v>29</v>
      </c>
      <c r="I52" t="s">
        <v>13</v>
      </c>
      <c r="J52" t="str">
        <f>_xlfn.XLOOKUP(B52,'Restaurant Details'!$A$2:$A$13,'Restaurant Details'!$B$2:$B$13,"Not Found")</f>
        <v>Biryani House</v>
      </c>
      <c r="K52" t="str">
        <f t="shared" si="1"/>
        <v>Thursday</v>
      </c>
    </row>
    <row r="53" spans="1:11" x14ac:dyDescent="0.3">
      <c r="A53" t="s">
        <v>85</v>
      </c>
      <c r="B53" t="s">
        <v>54</v>
      </c>
      <c r="C53" t="s">
        <v>49</v>
      </c>
      <c r="D53" s="2">
        <v>46032</v>
      </c>
      <c r="E53" s="2">
        <v>46032</v>
      </c>
      <c r="F53">
        <v>42</v>
      </c>
      <c r="G53">
        <v>45</v>
      </c>
      <c r="H53" t="s">
        <v>17</v>
      </c>
      <c r="I53" t="s">
        <v>13</v>
      </c>
      <c r="J53" t="str">
        <f>_xlfn.XLOOKUP(B53,'Restaurant Details'!$A$2:$A$13,'Restaurant Details'!$B$2:$B$13,"Not Found")</f>
        <v>Green Bowl</v>
      </c>
      <c r="K53" t="str">
        <f t="shared" si="1"/>
        <v>Saturday</v>
      </c>
    </row>
    <row r="54" spans="1:11" x14ac:dyDescent="0.3">
      <c r="A54" t="s">
        <v>86</v>
      </c>
      <c r="B54" t="s">
        <v>45</v>
      </c>
      <c r="C54" t="s">
        <v>36</v>
      </c>
      <c r="D54" s="2">
        <v>46059</v>
      </c>
      <c r="E54" s="2">
        <v>46060</v>
      </c>
      <c r="F54">
        <v>37</v>
      </c>
      <c r="G54">
        <v>45</v>
      </c>
      <c r="H54" t="s">
        <v>22</v>
      </c>
      <c r="I54" t="s">
        <v>13</v>
      </c>
      <c r="J54" t="str">
        <f>_xlfn.XLOOKUP(B54,'Restaurant Details'!$A$2:$A$13,'Restaurant Details'!$B$2:$B$13,"Not Found")</f>
        <v>Royal Thali</v>
      </c>
      <c r="K54" t="str">
        <f t="shared" si="1"/>
        <v>Saturday</v>
      </c>
    </row>
    <row r="55" spans="1:11" x14ac:dyDescent="0.3">
      <c r="A55" t="s">
        <v>87</v>
      </c>
      <c r="B55" t="s">
        <v>35</v>
      </c>
      <c r="C55" t="s">
        <v>36</v>
      </c>
      <c r="D55" s="2">
        <v>46051</v>
      </c>
      <c r="E55" s="2">
        <v>46052</v>
      </c>
      <c r="F55">
        <v>47</v>
      </c>
      <c r="G55">
        <v>40</v>
      </c>
      <c r="H55" t="s">
        <v>39</v>
      </c>
      <c r="I55" t="s">
        <v>13</v>
      </c>
      <c r="J55" t="str">
        <f>_xlfn.XLOOKUP(B55,'Restaurant Details'!$A$2:$A$13,'Restaurant Details'!$B$2:$B$13,"Not Found")</f>
        <v>Chaat Corner</v>
      </c>
      <c r="K55" t="str">
        <f t="shared" si="1"/>
        <v>Friday</v>
      </c>
    </row>
    <row r="56" spans="1:11" x14ac:dyDescent="0.3">
      <c r="A56" t="s">
        <v>88</v>
      </c>
      <c r="B56" t="s">
        <v>25</v>
      </c>
      <c r="C56" t="s">
        <v>21</v>
      </c>
      <c r="D56" s="2">
        <v>46066</v>
      </c>
      <c r="E56" s="2">
        <v>46068</v>
      </c>
      <c r="F56">
        <v>33</v>
      </c>
      <c r="G56">
        <v>50</v>
      </c>
      <c r="H56" t="s">
        <v>39</v>
      </c>
      <c r="I56" t="s">
        <v>18</v>
      </c>
      <c r="J56" t="str">
        <f>_xlfn.XLOOKUP(B56,'Restaurant Details'!$A$2:$A$13,'Restaurant Details'!$B$2:$B$13,"Not Found")</f>
        <v>Curry Culture</v>
      </c>
      <c r="K56" t="str">
        <f t="shared" si="1"/>
        <v>Sunday</v>
      </c>
    </row>
    <row r="57" spans="1:11" x14ac:dyDescent="0.3">
      <c r="A57" t="s">
        <v>89</v>
      </c>
      <c r="B57" t="s">
        <v>54</v>
      </c>
      <c r="C57" t="s">
        <v>49</v>
      </c>
      <c r="D57" s="2">
        <v>46033</v>
      </c>
      <c r="E57" s="2">
        <v>46034</v>
      </c>
      <c r="F57">
        <v>35</v>
      </c>
      <c r="G57">
        <v>25</v>
      </c>
      <c r="H57" t="s">
        <v>17</v>
      </c>
      <c r="I57" t="s">
        <v>13</v>
      </c>
      <c r="J57" t="str">
        <f>_xlfn.XLOOKUP(B57,'Restaurant Details'!$A$2:$A$13,'Restaurant Details'!$B$2:$B$13,"Not Found")</f>
        <v>Green Bowl</v>
      </c>
      <c r="K57" t="str">
        <f t="shared" si="1"/>
        <v>Monday</v>
      </c>
    </row>
    <row r="58" spans="1:11" x14ac:dyDescent="0.3">
      <c r="A58" t="s">
        <v>90</v>
      </c>
      <c r="B58" t="s">
        <v>41</v>
      </c>
      <c r="C58" t="s">
        <v>28</v>
      </c>
      <c r="D58" s="2">
        <v>46031</v>
      </c>
      <c r="E58" s="2">
        <v>46031</v>
      </c>
      <c r="F58">
        <v>47</v>
      </c>
      <c r="G58">
        <v>45</v>
      </c>
      <c r="H58" t="s">
        <v>39</v>
      </c>
      <c r="I58" t="s">
        <v>13</v>
      </c>
      <c r="J58" t="str">
        <f>_xlfn.XLOOKUP(B58,'Restaurant Details'!$A$2:$A$13,'Restaurant Details'!$B$2:$B$13,"Not Found")</f>
        <v>Spice Hub</v>
      </c>
      <c r="K58" t="str">
        <f t="shared" si="1"/>
        <v>Friday</v>
      </c>
    </row>
    <row r="59" spans="1:11" x14ac:dyDescent="0.3">
      <c r="A59" t="s">
        <v>91</v>
      </c>
      <c r="B59" t="s">
        <v>33</v>
      </c>
      <c r="C59" t="s">
        <v>11</v>
      </c>
      <c r="D59" s="2">
        <v>46027</v>
      </c>
      <c r="E59" s="2">
        <v>46028</v>
      </c>
      <c r="F59">
        <v>28</v>
      </c>
      <c r="G59">
        <v>35</v>
      </c>
      <c r="H59" t="s">
        <v>12</v>
      </c>
      <c r="I59" t="s">
        <v>13</v>
      </c>
      <c r="J59" t="str">
        <f>_xlfn.XLOOKUP(B59,'Restaurant Details'!$A$2:$A$13,'Restaurant Details'!$B$2:$B$13,"Not Found")</f>
        <v>Biryani House</v>
      </c>
      <c r="K59" t="str">
        <f t="shared" si="1"/>
        <v>Tuesday</v>
      </c>
    </row>
    <row r="60" spans="1:11" x14ac:dyDescent="0.3">
      <c r="A60" t="s">
        <v>92</v>
      </c>
      <c r="B60" t="s">
        <v>48</v>
      </c>
      <c r="C60" t="s">
        <v>49</v>
      </c>
      <c r="D60" s="2">
        <v>46027</v>
      </c>
      <c r="E60" s="2">
        <v>46029</v>
      </c>
      <c r="F60">
        <v>32</v>
      </c>
      <c r="G60">
        <v>30</v>
      </c>
      <c r="H60" t="s">
        <v>29</v>
      </c>
      <c r="I60" t="s">
        <v>13</v>
      </c>
      <c r="J60" t="str">
        <f>_xlfn.XLOOKUP(B60,'Restaurant Details'!$A$2:$A$13,'Restaurant Details'!$B$2:$B$13,"Not Found")</f>
        <v>South Express</v>
      </c>
      <c r="K60" t="str">
        <f t="shared" si="1"/>
        <v>Wednesday</v>
      </c>
    </row>
    <row r="61" spans="1:11" x14ac:dyDescent="0.3">
      <c r="A61" t="s">
        <v>93</v>
      </c>
      <c r="B61" t="s">
        <v>15</v>
      </c>
      <c r="C61" t="s">
        <v>16</v>
      </c>
      <c r="D61" s="2">
        <v>46080</v>
      </c>
      <c r="E61" s="2">
        <v>46080</v>
      </c>
      <c r="F61">
        <v>41</v>
      </c>
      <c r="G61">
        <v>30</v>
      </c>
      <c r="H61" t="s">
        <v>39</v>
      </c>
      <c r="I61" t="s">
        <v>13</v>
      </c>
      <c r="J61" t="str">
        <f>_xlfn.XLOOKUP(B61,'Restaurant Details'!$A$2:$A$13,'Restaurant Details'!$B$2:$B$13,"Not Found")</f>
        <v>The Dosa Cafe</v>
      </c>
      <c r="K61" t="str">
        <f t="shared" si="1"/>
        <v>Friday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5" customWidth="1"/>
    <col min="3" max="3" width="24" customWidth="1"/>
  </cols>
  <sheetData>
    <row r="1" spans="1:3" x14ac:dyDescent="0.3">
      <c r="A1" s="1" t="s">
        <v>2</v>
      </c>
      <c r="B1" s="1" t="s">
        <v>109</v>
      </c>
      <c r="C1" s="1" t="s">
        <v>110</v>
      </c>
    </row>
    <row r="2" spans="1:3" x14ac:dyDescent="0.3">
      <c r="A2" t="s">
        <v>28</v>
      </c>
      <c r="B2">
        <v>10</v>
      </c>
      <c r="C2" s="3">
        <v>390</v>
      </c>
    </row>
    <row r="3" spans="1:3" x14ac:dyDescent="0.3">
      <c r="A3" t="s">
        <v>16</v>
      </c>
      <c r="B3">
        <v>4</v>
      </c>
      <c r="C3" s="3">
        <v>135</v>
      </c>
    </row>
    <row r="4" spans="1:3" x14ac:dyDescent="0.3">
      <c r="A4" t="s">
        <v>21</v>
      </c>
      <c r="B4">
        <v>15</v>
      </c>
      <c r="C4" s="3">
        <v>610</v>
      </c>
    </row>
    <row r="5" spans="1:3" x14ac:dyDescent="0.3">
      <c r="A5" t="s">
        <v>36</v>
      </c>
      <c r="B5">
        <v>8</v>
      </c>
      <c r="C5" s="3">
        <v>305</v>
      </c>
    </row>
    <row r="6" spans="1:3" x14ac:dyDescent="0.3">
      <c r="A6" t="s">
        <v>11</v>
      </c>
      <c r="B6">
        <v>11</v>
      </c>
      <c r="C6" s="3">
        <v>475</v>
      </c>
    </row>
    <row r="7" spans="1:3" x14ac:dyDescent="0.3">
      <c r="A7" t="s">
        <v>49</v>
      </c>
      <c r="B7">
        <v>12</v>
      </c>
      <c r="C7" s="3">
        <v>490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2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" customWidth="1"/>
    <col min="2" max="2" width="24" customWidth="1"/>
    <col min="3" max="3" width="15" customWidth="1"/>
    <col min="4" max="4" width="24" customWidth="1"/>
    <col min="5" max="5" width="22" customWidth="1"/>
    <col min="6" max="6" width="12" customWidth="1"/>
    <col min="7" max="7" width="4" customWidth="1"/>
    <col min="8" max="8" width="14" customWidth="1"/>
  </cols>
  <sheetData>
    <row r="2" spans="2:8" ht="21" x14ac:dyDescent="0.4">
      <c r="B2" s="11" t="s">
        <v>111</v>
      </c>
      <c r="C2" s="10"/>
      <c r="D2" s="10"/>
      <c r="E2" s="10"/>
      <c r="F2" s="10"/>
      <c r="G2" s="10"/>
      <c r="H2" s="10"/>
    </row>
    <row r="4" spans="2:8" x14ac:dyDescent="0.3">
      <c r="B4" s="4" t="s">
        <v>112</v>
      </c>
      <c r="C4" s="5" t="s">
        <v>113</v>
      </c>
    </row>
    <row r="6" spans="2:8" x14ac:dyDescent="0.3">
      <c r="B6" s="4" t="s">
        <v>109</v>
      </c>
      <c r="D6" s="4" t="s">
        <v>114</v>
      </c>
    </row>
    <row r="7" spans="2:8" ht="18" x14ac:dyDescent="0.35">
      <c r="B7" s="6">
        <f>IF($C$4="All",COUNTA('1 - Cleaned Data'!$A$2:$A$61),COUNTIF('1 - Cleaned Data'!$C$2:$C$61,$C$4))</f>
        <v>60</v>
      </c>
      <c r="D7" s="7">
        <f>IF($C$4="All",AVERAGE('1 - Cleaned Data'!$F$2:$F$61),AVERAGEIF('1 - Cleaned Data'!$C$2:$C$61,$C$4,'1 - Cleaned Data'!$F$2:$F$61))</f>
        <v>40.383333333333333</v>
      </c>
    </row>
    <row r="10" spans="2:8" x14ac:dyDescent="0.3">
      <c r="B10" s="8" t="s">
        <v>115</v>
      </c>
      <c r="E10" t="s">
        <v>116</v>
      </c>
    </row>
    <row r="11" spans="2:8" x14ac:dyDescent="0.3">
      <c r="B11" s="1" t="s">
        <v>117</v>
      </c>
      <c r="C11" s="1" t="s">
        <v>118</v>
      </c>
      <c r="E11" s="1" t="s">
        <v>117</v>
      </c>
      <c r="F11" s="1" t="s">
        <v>118</v>
      </c>
    </row>
    <row r="12" spans="2:8" x14ac:dyDescent="0.3">
      <c r="B12" s="5" t="s">
        <v>95</v>
      </c>
      <c r="C12" s="5">
        <f>IF($C$4="All",COUNTIF('1 - Cleaned Data'!$B$2:$B$61,"R001"),COUNTIFS('1 - Cleaned Data'!$B$2:$B$61,"R001",'1 - Cleaned Data'!$C$2:$C$61,$C$4))</f>
        <v>8</v>
      </c>
      <c r="E12" s="5" t="str">
        <f>INDEX($B$12:$B$23,MATCH(F12,$C$12:$C$23,0))</f>
        <v>Burger Street</v>
      </c>
      <c r="F12" s="5">
        <f>LARGE($C$12:$C$23,1)</f>
        <v>10</v>
      </c>
    </row>
    <row r="13" spans="2:8" x14ac:dyDescent="0.3">
      <c r="B13" s="5" t="s">
        <v>96</v>
      </c>
      <c r="C13" s="5">
        <f>IF($C$4="All",COUNTIF('1 - Cleaned Data'!$B$2:$B$61,"R002"),COUNTIFS('1 - Cleaned Data'!$B$2:$B$61,"R002",'1 - Cleaned Data'!$C$2:$C$61,$C$4))</f>
        <v>2</v>
      </c>
      <c r="E13" s="5" t="str">
        <f>INDEX($B$12:$B$23,MATCH(F13,$C$12:$C$23,0))</f>
        <v>Spice Hub</v>
      </c>
      <c r="F13" s="5">
        <f>LARGE($C$12:$C$23,2)</f>
        <v>8</v>
      </c>
    </row>
    <row r="14" spans="2:8" x14ac:dyDescent="0.3">
      <c r="B14" s="5" t="s">
        <v>97</v>
      </c>
      <c r="C14" s="5">
        <f>IF($C$4="All",COUNTIF('1 - Cleaned Data'!$B$2:$B$61,"R003"),COUNTIFS('1 - Cleaned Data'!$B$2:$B$61,"R003",'1 - Cleaned Data'!$C$2:$C$61,$C$4))</f>
        <v>3</v>
      </c>
      <c r="E14" s="5" t="str">
        <f>INDEX($B$12:$B$23,MATCH(F14,$C$12:$C$23,0))</f>
        <v>Spice Hub</v>
      </c>
      <c r="F14" s="5">
        <f>LARGE($C$12:$C$23,3)</f>
        <v>8</v>
      </c>
    </row>
    <row r="15" spans="2:8" x14ac:dyDescent="0.3">
      <c r="B15" s="5" t="s">
        <v>98</v>
      </c>
      <c r="C15" s="5">
        <f>IF($C$4="All",COUNTIF('1 - Cleaned Data'!$B$2:$B$61,"R004"),COUNTIFS('1 - Cleaned Data'!$B$2:$B$61,"R004",'1 - Cleaned Data'!$C$2:$C$61,$C$4))</f>
        <v>8</v>
      </c>
    </row>
    <row r="16" spans="2:8" x14ac:dyDescent="0.3">
      <c r="B16" s="5" t="s">
        <v>99</v>
      </c>
      <c r="C16" s="5">
        <f>IF($C$4="All",COUNTIF('1 - Cleaned Data'!$B$2:$B$61,"R005"),COUNTIFS('1 - Cleaned Data'!$B$2:$B$61,"R005",'1 - Cleaned Data'!$C$2:$C$61,$C$4))</f>
        <v>6</v>
      </c>
    </row>
    <row r="17" spans="2:8" x14ac:dyDescent="0.3">
      <c r="B17" s="5" t="s">
        <v>100</v>
      </c>
      <c r="C17" s="5">
        <f>IF($C$4="All",COUNTIF('1 - Cleaned Data'!$B$2:$B$61,"R006"),COUNTIFS('1 - Cleaned Data'!$B$2:$B$61,"R006",'1 - Cleaned Data'!$C$2:$C$61,$C$4))</f>
        <v>6</v>
      </c>
    </row>
    <row r="18" spans="2:8" x14ac:dyDescent="0.3">
      <c r="B18" s="5" t="s">
        <v>101</v>
      </c>
      <c r="C18" s="5">
        <f>IF($C$4="All",COUNTIF('1 - Cleaned Data'!$B$2:$B$61,"R007"),COUNTIFS('1 - Cleaned Data'!$B$2:$B$61,"R007",'1 - Cleaned Data'!$C$2:$C$61,$C$4))</f>
        <v>10</v>
      </c>
    </row>
    <row r="19" spans="2:8" x14ac:dyDescent="0.3">
      <c r="B19" s="5" t="s">
        <v>102</v>
      </c>
      <c r="C19" s="5">
        <f>IF($C$4="All",COUNTIF('1 - Cleaned Data'!$B$2:$B$61,"R008"),COUNTIFS('1 - Cleaned Data'!$B$2:$B$61,"R008",'1 - Cleaned Data'!$C$2:$C$61,$C$4))</f>
        <v>5</v>
      </c>
    </row>
    <row r="20" spans="2:8" x14ac:dyDescent="0.3">
      <c r="B20" s="5" t="s">
        <v>103</v>
      </c>
      <c r="C20" s="5">
        <f>IF($C$4="All",COUNTIF('1 - Cleaned Data'!$B$2:$B$61,"R009"),COUNTIFS('1 - Cleaned Data'!$B$2:$B$61,"R009",'1 - Cleaned Data'!$C$2:$C$61,$C$4))</f>
        <v>4</v>
      </c>
    </row>
    <row r="21" spans="2:8" x14ac:dyDescent="0.3">
      <c r="B21" s="5" t="s">
        <v>105</v>
      </c>
      <c r="C21" s="5">
        <f>IF($C$4="All",COUNTIF('1 - Cleaned Data'!$B$2:$B$61,"R010"),COUNTIFS('1 - Cleaned Data'!$B$2:$B$61,"R010",'1 - Cleaned Data'!$C$2:$C$61,$C$4))</f>
        <v>0</v>
      </c>
    </row>
    <row r="22" spans="2:8" x14ac:dyDescent="0.3">
      <c r="B22" s="5" t="s">
        <v>106</v>
      </c>
      <c r="C22" s="5">
        <f>IF($C$4="All",COUNTIF('1 - Cleaned Data'!$B$2:$B$61,"R011"),COUNTIFS('1 - Cleaned Data'!$B$2:$B$61,"R011",'1 - Cleaned Data'!$C$2:$C$61,$C$4))</f>
        <v>4</v>
      </c>
    </row>
    <row r="23" spans="2:8" x14ac:dyDescent="0.3">
      <c r="B23" s="5" t="s">
        <v>107</v>
      </c>
      <c r="C23" s="5">
        <f>IF($C$4="All",COUNTIF('1 - Cleaned Data'!$B$2:$B$61,"R012"),COUNTIFS('1 - Cleaned Data'!$B$2:$B$61,"R012",'1 - Cleaned Data'!$C$2:$C$61,$C$4))</f>
        <v>4</v>
      </c>
    </row>
    <row r="27" spans="2:8" x14ac:dyDescent="0.3">
      <c r="B27" s="9" t="s">
        <v>119</v>
      </c>
      <c r="C27" s="10" t="s">
        <v>120</v>
      </c>
      <c r="D27" s="10"/>
      <c r="E27" s="10"/>
      <c r="F27" s="10"/>
      <c r="G27" s="10"/>
      <c r="H27" s="10"/>
    </row>
  </sheetData>
  <mergeCells count="2">
    <mergeCell ref="C27:H27"/>
    <mergeCell ref="B2:H2"/>
  </mergeCells>
  <dataValidations count="1">
    <dataValidation type="list" sqref="C4" xr:uid="{00000000-0002-0000-0600-000000000000}">
      <formula1>"All,Ahmedabad,Bengaluru,Delhi,Jaipur,Mumbai,Pune"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1 - Cleaned Data</vt:lpstr>
      <vt:lpstr>2 - Restaurant Lookup</vt:lpstr>
      <vt:lpstr>Restaurant Details</vt:lpstr>
      <vt:lpstr>3 - Day of Week</vt:lpstr>
      <vt:lpstr>4 - City Summary</vt:lpstr>
      <vt:lpstr>5 - Mini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PATEL</cp:lastModifiedBy>
  <dcterms:created xsi:type="dcterms:W3CDTF">2026-09-06T12:29:22Z</dcterms:created>
  <dcterms:modified xsi:type="dcterms:W3CDTF">2026-09-06T12:41:41Z</dcterms:modified>
</cp:coreProperties>
</file>